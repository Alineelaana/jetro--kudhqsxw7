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_rels/sheet9.xml.rels" ContentType="application/vnd.openxmlformats-package.relationships+xml"/>
  <Override PartName="/xl/worksheets/_rels/sheet10.xml.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externalLinks/_rels/externalLink1.xml.rels" ContentType="application/vnd.openxmlformats-package.relationships+xml"/>
  <Override PartName="/xl/externalLinks/_rels/externalLink2.xml.rels" ContentType="application/vnd.openxmlformats-package.relationships+xml"/>
  <Override PartName="/xl/externalLinks/_rels/externalLink3.xml.rels" ContentType="application/vnd.openxmlformats-package.relationship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media/image1.jpeg" ContentType="image/jpeg"/>
  <Override PartName="/xl/media/image2.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drawings/_rels/drawing4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Consumo salmoura" sheetId="1" state="visible" r:id="rId3"/>
    <sheet name="INSUMOS" sheetId="2" state="visible" r:id="rId4"/>
    <sheet name="MP" sheetId="3" state="visible" r:id="rId5"/>
    <sheet name="CMV" sheetId="4" state="visible" r:id="rId6"/>
    <sheet name="COMPARATIVO CUSTO ANTIGO x NOVO" sheetId="5" state="visible" r:id="rId7"/>
    <sheet name="TABELA MÃE" sheetId="6" state="visible" r:id="rId8"/>
    <sheet name="TAB VAREJO" sheetId="7" state="visible" r:id="rId9"/>
    <sheet name="TAB ATACAREJO" sheetId="8" state="visible" r:id="rId10"/>
    <sheet name="TAB ATACADO" sheetId="9" state="visible" r:id="rId11"/>
    <sheet name="TAB DISTRIBUIDOR" sheetId="10" state="visible" r:id="rId12"/>
  </sheets>
  <externalReferences>
    <externalReference r:id="rId13"/>
    <externalReference r:id="rId14"/>
    <externalReference r:id="rId15"/>
  </externalReferenc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<sst xmlns="http://schemas.openxmlformats.org/spreadsheetml/2006/main" count="1206" uniqueCount="242">
  <si>
    <t xml:space="preserve">AZEITONA VERDE</t>
  </si>
  <si>
    <t xml:space="preserve">CHAMPIGNON</t>
  </si>
  <si>
    <t xml:space="preserve">AZEITONA PRETA</t>
  </si>
  <si>
    <t xml:space="preserve">LINHA DE PRODUTOS - DOYPACK 80g/ 120g/150g/1,01Kg                                     </t>
  </si>
  <si>
    <t xml:space="preserve">LINHA DE PRODUTOS - DOYPACK 100/1,01Kg                                     </t>
  </si>
  <si>
    <t xml:space="preserve">LINHA DE PRODUTOS - POTES DE VIDRO 400g                                 </t>
  </si>
  <si>
    <t xml:space="preserve">INGREDIENTE</t>
  </si>
  <si>
    <t xml:space="preserve">% </t>
  </si>
  <si>
    <t xml:space="preserve">CUSTO</t>
  </si>
  <si>
    <t xml:space="preserve">Água potável</t>
  </si>
  <si>
    <t xml:space="preserve">Sal </t>
  </si>
  <si>
    <t xml:space="preserve">Sal</t>
  </si>
  <si>
    <t xml:space="preserve">Ácido Cítrico</t>
  </si>
  <si>
    <t xml:space="preserve">Acido Lactico</t>
  </si>
  <si>
    <t xml:space="preserve">Benzoato de Sódio</t>
  </si>
  <si>
    <t xml:space="preserve">Sorbato de Potássio</t>
  </si>
  <si>
    <t xml:space="preserve">Cloreto de Calcio</t>
  </si>
  <si>
    <t xml:space="preserve">Salmoura total</t>
  </si>
  <si>
    <t xml:space="preserve">Metabissulfito de Sódio</t>
  </si>
  <si>
    <t xml:space="preserve">LINHA DE PRODUTOS - POTES DE VIDRO 160g/500g                                                                  </t>
  </si>
  <si>
    <t xml:space="preserve">LINHA DE PRODUTOS - POTES DE VIDRO 200g                                 </t>
  </si>
  <si>
    <t xml:space="preserve">LINHA DE PRODUTOS - BALDES 2kg                               </t>
  </si>
  <si>
    <t xml:space="preserve">Acido Ascorbico</t>
  </si>
  <si>
    <t xml:space="preserve">LINHA DE PRODUTOS - BALDES 2KG                                                            </t>
  </si>
  <si>
    <t xml:space="preserve">INSUMOS</t>
  </si>
  <si>
    <t xml:space="preserve">ACIDO</t>
  </si>
  <si>
    <t xml:space="preserve">CUSTO UND/KG</t>
  </si>
  <si>
    <t xml:space="preserve">KG</t>
  </si>
  <si>
    <t xml:space="preserve">PROD ACABADO</t>
  </si>
  <si>
    <t xml:space="preserve">FILME</t>
  </si>
  <si>
    <t xml:space="preserve">GRAMATURA P/ UND</t>
  </si>
  <si>
    <t xml:space="preserve">FILME TERMOCONTRATIL 600 MM X 80 U</t>
  </si>
  <si>
    <t xml:space="preserve">FILME AZEITONA VERDE FATIADA SACHET 1010KG</t>
  </si>
  <si>
    <t xml:space="preserve">UND</t>
  </si>
  <si>
    <t xml:space="preserve">FILME AZEITONA VERDE GRAÚDA SACHET 1010KG</t>
  </si>
  <si>
    <t xml:space="preserve">FILME AZEITONA VERDE MEDIA SACHET 1010KG</t>
  </si>
  <si>
    <t xml:space="preserve">FILME AZEITONA VERDE MIUDA SACHET 1010KG</t>
  </si>
  <si>
    <t xml:space="preserve">FILME CHAMPIGNOM FATIADO SACHET 1010KG</t>
  </si>
  <si>
    <t xml:space="preserve">FILME CHAMPIGNOM INTEIRO SACHET 1010KG</t>
  </si>
  <si>
    <t xml:space="preserve">FIME AZEITONA VERDE S/CAROÇO SACHET 1010KG</t>
  </si>
  <si>
    <t xml:space="preserve">FILME AZEITONA FATIADA SACHET 80GR</t>
  </si>
  <si>
    <t xml:space="preserve">FILME AZEITONA S/ CAROÇO SACHET 80GR</t>
  </si>
  <si>
    <t xml:space="preserve">FILME AZEITONA C/ CAROÇO 80 GR</t>
  </si>
  <si>
    <t xml:space="preserve">FILME AZEITONA FATIADA SACHET 120 GR KG</t>
  </si>
  <si>
    <t xml:space="preserve">FILME AZEITONA S/ CAROÇO SACHET 120 GR KG</t>
  </si>
  <si>
    <t xml:space="preserve">FILME AZEITONA C/ CAROÇO 150 GR KG</t>
  </si>
  <si>
    <t xml:space="preserve">FILME CHAMPIGNON INTEIRO 100 GR KG</t>
  </si>
  <si>
    <t xml:space="preserve">FILME CHAMPIGNON FATIADO 100 GR KG</t>
  </si>
  <si>
    <t xml:space="preserve">FiLME AZEITONA  C/CAROÇO 50GR</t>
  </si>
  <si>
    <t xml:space="preserve">FILME AZEITONA RECHEADA SACHET 120 GR KG</t>
  </si>
  <si>
    <t xml:space="preserve">FILME CEBOLINHA SACHET 120 GR KG</t>
  </si>
  <si>
    <t xml:space="preserve">FILME CEBOLINHA 50 GR</t>
  </si>
  <si>
    <t xml:space="preserve">FILME AZEITONA RECHEADA SACHET 80G</t>
  </si>
  <si>
    <t xml:space="preserve">FILME QUEIJO RALADO 40G GROSSO</t>
  </si>
  <si>
    <t xml:space="preserve">FILME QUEIJO RALADO 40G FINO</t>
  </si>
  <si>
    <t xml:space="preserve">CAIXAS DE PAPELÃO</t>
  </si>
  <si>
    <t xml:space="preserve">CAIXA PAPELÃO P/ SACHETS PADRÃO</t>
  </si>
  <si>
    <t xml:space="preserve">CAIXA PAPELÃO P/ VIDRO 200 GR</t>
  </si>
  <si>
    <t xml:space="preserve">CAIXA PAPELÃO P/ VIDRO 500 GR</t>
  </si>
  <si>
    <t xml:space="preserve">CAIXA PAPELÃO QUEIJO RALADO FINO</t>
  </si>
  <si>
    <t xml:space="preserve">VIDROS</t>
  </si>
  <si>
    <t xml:space="preserve">VIDRO 200 GR</t>
  </si>
  <si>
    <t xml:space="preserve">VIDRO 500 GR</t>
  </si>
  <si>
    <t xml:space="preserve">TAMPAS</t>
  </si>
  <si>
    <t xml:space="preserve">TAMPA 74 PRETA P/ VIDRO 500 GR - GRAN ROMANO</t>
  </si>
  <si>
    <t xml:space="preserve">TAMPA VERDE P/ BALDE 2 KG</t>
  </si>
  <si>
    <t xml:space="preserve">TAMPA 58 PRETA P/ VIDRO 200 GR - GRAN ROMANO</t>
  </si>
  <si>
    <t xml:space="preserve">ROTULOS</t>
  </si>
  <si>
    <t xml:space="preserve">RÓTULO AZEITONA FATIADA VIDRO 160 GR</t>
  </si>
  <si>
    <t xml:space="preserve">RÓTULO AZEITONA S/ CAROÇO VIDRO 160 GR</t>
  </si>
  <si>
    <t xml:space="preserve">RÓTULO AZEITONA RECHEADA VIDRO 180 GR</t>
  </si>
  <si>
    <t xml:space="preserve">RÓTULO AZEITONA C/ CAROÇO VIDRO 200 GR</t>
  </si>
  <si>
    <t xml:space="preserve">RÓTULO AZEITONA PRETA C/ CAROÇO VIDRO 200 GR</t>
  </si>
  <si>
    <t xml:space="preserve">RÓTULO AZEITONA C/ CAROÇO VIDRO 500 GR</t>
  </si>
  <si>
    <t xml:space="preserve">RÓTULO AZEITONA GOURMET C/ CAROÇO 450 GR</t>
  </si>
  <si>
    <t xml:space="preserve">RÓTULO AZEITONA GOURMET S/ CAROÇO 400 GR</t>
  </si>
  <si>
    <t xml:space="preserve">RÓTULO PIMENTA BIQUINHO VIDRO 200 GRS</t>
  </si>
  <si>
    <t xml:space="preserve">RÓTULO AZEITONA PRETA PORTUGUESINHA 200GR</t>
  </si>
  <si>
    <t xml:space="preserve">ROTULO CHAMPIGNOM INTEIRO 200G</t>
  </si>
  <si>
    <t xml:space="preserve">ROTULO CHAMPIGNOM FATIADO 200G</t>
  </si>
  <si>
    <t xml:space="preserve">ROTULO AZEITONA GOUMERT C/ CAROÇO 200 GR</t>
  </si>
  <si>
    <t xml:space="preserve">ROTULO AZEITONA GOUMERT S/ CAROÇO 160 GR</t>
  </si>
  <si>
    <t xml:space="preserve">RÓTULO AZEITONA PRETA GOURMET C/CAROÇO 400G</t>
  </si>
  <si>
    <t xml:space="preserve">BALDE 2 KG</t>
  </si>
  <si>
    <t xml:space="preserve">MATERIA PRIMA</t>
  </si>
  <si>
    <t xml:space="preserve">TIPO</t>
  </si>
  <si>
    <t xml:space="preserve">CALIBRE</t>
  </si>
  <si>
    <t xml:space="preserve">Custo HOJE</t>
  </si>
  <si>
    <t xml:space="preserve">AZEITONA COM CAROÇO</t>
  </si>
  <si>
    <t xml:space="preserve">MIUDA</t>
  </si>
  <si>
    <t xml:space="preserve">360/600</t>
  </si>
  <si>
    <t xml:space="preserve">MEDIA</t>
  </si>
  <si>
    <t xml:space="preserve">200/340</t>
  </si>
  <si>
    <t xml:space="preserve">GRAUDA</t>
  </si>
  <si>
    <t xml:space="preserve">80/180</t>
  </si>
  <si>
    <t xml:space="preserve">AZEITONA SEM CAROÇO</t>
  </si>
  <si>
    <t xml:space="preserve">AZEITONA FATIADA</t>
  </si>
  <si>
    <t xml:space="preserve">AZEITONA PRETA FATIADA</t>
  </si>
  <si>
    <t xml:space="preserve">AZEITONA PRETA SEM CAROÇO</t>
  </si>
  <si>
    <t xml:space="preserve">CHAMPIGNON FATIADO</t>
  </si>
  <si>
    <t xml:space="preserve">CHAMPIGNON INTEIRO</t>
  </si>
  <si>
    <t xml:space="preserve">QUEIJO RALADO</t>
  </si>
  <si>
    <t xml:space="preserve">FINO</t>
  </si>
  <si>
    <t xml:space="preserve">GROSSO</t>
  </si>
  <si>
    <t xml:space="preserve">VIDRO 200/160G</t>
  </si>
  <si>
    <t xml:space="preserve">UND MEDIDA</t>
  </si>
  <si>
    <t xml:space="preserve">PESO DRENADO</t>
  </si>
  <si>
    <t xml:space="preserve">VIDRO</t>
  </si>
  <si>
    <t xml:space="preserve">CAIXA</t>
  </si>
  <si>
    <t xml:space="preserve">SALMOURA</t>
  </si>
  <si>
    <t xml:space="preserve">TAMPA</t>
  </si>
  <si>
    <t xml:space="preserve">ROTULO</t>
  </si>
  <si>
    <t xml:space="preserve">AZEITONA VERDE FATIADA VIDRO 160 GR</t>
  </si>
  <si>
    <t xml:space="preserve">AZEITONA VERDE SEM CAROÇO VIDRO 160 GR</t>
  </si>
  <si>
    <t xml:space="preserve">AZEITONA VERDE  COM CAROÇO VIDRO 200 GR</t>
  </si>
  <si>
    <t xml:space="preserve">CHAMPIGNON INTEIRO VIDRO 200 GRS</t>
  </si>
  <si>
    <t xml:space="preserve">CHAMPIGNON FATIADO VIDRO 200 GRS </t>
  </si>
  <si>
    <t xml:space="preserve">AZEITONA VERDE COM CAROÇO GOURMET 200 GR </t>
  </si>
  <si>
    <t xml:space="preserve">AZEITONA VERDE SEM CAROÇO GOURMET 160 GR </t>
  </si>
  <si>
    <t xml:space="preserve">AZEITONA PRETA C/ CAROÇO GOURMET 200 GR </t>
  </si>
  <si>
    <t xml:space="preserve">VIDRO 500/450/400G</t>
  </si>
  <si>
    <t xml:space="preserve">AZEITONA VERDE COM CAROÇO VIDRO 500 GR</t>
  </si>
  <si>
    <t xml:space="preserve">AZEITONA VERDE COM CAROÇO GOURMET 450 GR </t>
  </si>
  <si>
    <t xml:space="preserve">AZEITONA VERDE SEM CAROÇO GOURMET 400 GR </t>
  </si>
  <si>
    <t xml:space="preserve">AZEITONA PRETA COM CAROÇO GOURMET 400 GR</t>
  </si>
  <si>
    <t xml:space="preserve">SACHÊ 80/100G</t>
  </si>
  <si>
    <t xml:space="preserve">AZEITONA VERDE COM CAROÇO SACHET 80 GR</t>
  </si>
  <si>
    <t xml:space="preserve">AZEITONA VERDE SEM CAROÇO SACHET 80 GR</t>
  </si>
  <si>
    <t xml:space="preserve">AZEITONA VERDE FATIADA SACHET 80 GR</t>
  </si>
  <si>
    <t xml:space="preserve">CHAMPIGNON INTEIRO SACHET 100 GR</t>
  </si>
  <si>
    <t xml:space="preserve">CHAMPIGNON FATIADO SACHET 100 GR</t>
  </si>
  <si>
    <t xml:space="preserve">SACHÊ 120/150/50G</t>
  </si>
  <si>
    <t xml:space="preserve">AZEITONA VERDE SEM CAROÇO SACHET 120 GR</t>
  </si>
  <si>
    <t xml:space="preserve">AZEITONA VERDE FATIADA SACHET 120 GR</t>
  </si>
  <si>
    <t xml:space="preserve">AZEITONA VERDE COM CAROÇO SACHET 150 GR</t>
  </si>
  <si>
    <t xml:space="preserve">AZEITONA VERDE COM CAROÇO SACHET 50 GR</t>
  </si>
  <si>
    <t xml:space="preserve">SACHÊ 1,010KG</t>
  </si>
  <si>
    <t xml:space="preserve">AZEITONA VERDE  FATIADA SACHET 1,010 KG</t>
  </si>
  <si>
    <t xml:space="preserve">AZEITONA VERDE  S/ CAROÇO SACHET 1,010 KG</t>
  </si>
  <si>
    <t xml:space="preserve">AZEITONA VERDE GRAUDA SACHET 1,010 KG</t>
  </si>
  <si>
    <t xml:space="preserve">AZEITONA VERDE MEDIA SACHET 1,010 KG</t>
  </si>
  <si>
    <t xml:space="preserve">AZEITONA VERDE MIUDA SACHET 1,010 KG</t>
  </si>
  <si>
    <t xml:space="preserve">CHAMPIGNON INTEIRO SACHET 1,010 KG</t>
  </si>
  <si>
    <t xml:space="preserve">CHAMPIGNON FATIADO SACHET 1,010 KG</t>
  </si>
  <si>
    <t xml:space="preserve">QUEIJO PARMESÃO RALADO FINO SACHET 40 GR</t>
  </si>
  <si>
    <t xml:space="preserve">QUEIJO PARMESÃO RALADO FIAPO  SACHET 40 GR</t>
  </si>
  <si>
    <t xml:space="preserve">BALDE 2KG</t>
  </si>
  <si>
    <t xml:space="preserve">BALDE</t>
  </si>
  <si>
    <t xml:space="preserve">TAMPA </t>
  </si>
  <si>
    <t xml:space="preserve">AZEITONA VERDE  FATIADA BALDE 2 KG</t>
  </si>
  <si>
    <t xml:space="preserve">AZEITONA VERDE S/ CAROÇO BALDE 2 KG</t>
  </si>
  <si>
    <t xml:space="preserve">AZEITONA PRETA BALDE 2 KG</t>
  </si>
  <si>
    <t xml:space="preserve">AZ PRETA FATIADA BALDE 2 KG</t>
  </si>
  <si>
    <t xml:space="preserve">AZ PRETA SEM CAROÇO BALDE 2 KG</t>
  </si>
  <si>
    <t xml:space="preserve">AZEITONA VERDE MEDIA BALDE 2 KG</t>
  </si>
  <si>
    <t xml:space="preserve">AZEITONA VERDE MIUDA BALDE 2 KG</t>
  </si>
  <si>
    <t xml:space="preserve">AZ VERDE GORDAL BALDE 2 KG</t>
  </si>
  <si>
    <t xml:space="preserve">CHAMPIGNON INTEIRO BALDE 2 KG</t>
  </si>
  <si>
    <t xml:space="preserve">CHAMPIGNON FATIADO BALDE 2 KG</t>
  </si>
  <si>
    <t xml:space="preserve">CUSTO ANTIGO</t>
  </si>
  <si>
    <t xml:space="preserve">CUSTO NOVO</t>
  </si>
  <si>
    <t xml:space="preserve">DIFERENÇA</t>
  </si>
  <si>
    <t xml:space="preserve">UNIDADES</t>
  </si>
  <si>
    <t xml:space="preserve">CÓD</t>
  </si>
  <si>
    <t xml:space="preserve">COD SANKHYA</t>
  </si>
  <si>
    <t xml:space="preserve">DESCRIÇÃO DO PRODUTO</t>
  </si>
  <si>
    <t xml:space="preserve">MARGEM</t>
  </si>
  <si>
    <t xml:space="preserve">VAREJO</t>
  </si>
  <si>
    <t xml:space="preserve">ATACAREJO</t>
  </si>
  <si>
    <t xml:space="preserve">ATACADO</t>
  </si>
  <si>
    <t xml:space="preserve">DISTRIBUIDOR</t>
  </si>
  <si>
    <t xml:space="preserve">CUSTO UND</t>
  </si>
  <si>
    <t xml:space="preserve">PV VAREJO</t>
  </si>
  <si>
    <t xml:space="preserve">PV ATACAREJO</t>
  </si>
  <si>
    <t xml:space="preserve">PV ATACADO GENERALISTA </t>
  </si>
  <si>
    <t xml:space="preserve">PV DISTRIBUIDOR</t>
  </si>
  <si>
    <t xml:space="preserve">AZEITONA VERDE GRAUDA BALDE 2 KG</t>
  </si>
  <si>
    <r>
      <rPr>
        <b val="true"/>
        <sz val="24"/>
        <rFont val="Calibri"/>
        <family val="2"/>
        <charset val="1"/>
      </rPr>
      <t xml:space="preserve">TABELA GRAN ROMANO  -  VAREJO
</t>
    </r>
    <r>
      <rPr>
        <b val="true"/>
        <sz val="10"/>
        <color rgb="FF001F60"/>
        <rFont val="Calibri"/>
        <family val="2"/>
        <charset val="1"/>
      </rPr>
      <t xml:space="preserve">                                                                                          ** TABELA VÁLIDA PARA OS ESTADOS</t>
    </r>
    <r>
      <rPr>
        <b val="true"/>
        <sz val="10"/>
        <rFont val="Calibri"/>
        <family val="2"/>
        <charset val="1"/>
      </rPr>
      <t xml:space="preserve">: SP - ES - MG - RJ       ATUALIZADA 23/06/2025                                                                  </t>
    </r>
  </si>
  <si>
    <t xml:space="preserve">PRODUTO</t>
  </si>
  <si>
    <t xml:space="preserve">EMBALAGEM
GRAMAS </t>
  </si>
  <si>
    <t xml:space="preserve">UNIDADES EM CAIXA</t>
  </si>
  <si>
    <t xml:space="preserve">PREÇO DE VENDA 28D UNIDADE</t>
  </si>
  <si>
    <t xml:space="preserve">PRECO VENDA 28D CX</t>
  </si>
  <si>
    <t xml:space="preserve">CÓD. EAN</t>
  </si>
  <si>
    <t xml:space="preserve">CÓD. DUN</t>
  </si>
  <si>
    <t xml:space="preserve">NCM</t>
  </si>
  <si>
    <t xml:space="preserve">QUANT. NO
PALETE</t>
  </si>
  <si>
    <t xml:space="preserve">PRECO VENDA 7D CX</t>
  </si>
  <si>
    <t xml:space="preserve">PRECO VENDA 14D CX</t>
  </si>
  <si>
    <t xml:space="preserve">PRECO VENDA 21D CX</t>
  </si>
  <si>
    <t xml:space="preserve">PRECO VENDA 35D CX</t>
  </si>
  <si>
    <t xml:space="preserve">AZ VERDE FATIADA</t>
  </si>
  <si>
    <t xml:space="preserve">160 GR</t>
  </si>
  <si>
    <t xml:space="preserve">2005.70.00</t>
  </si>
  <si>
    <t xml:space="preserve">154 CXS</t>
  </si>
  <si>
    <t xml:space="preserve">AZ VERDE S/ CAROÇO</t>
  </si>
  <si>
    <t xml:space="preserve">AZ VERDE  C/ CAROÇO</t>
  </si>
  <si>
    <t xml:space="preserve">200 GR</t>
  </si>
  <si>
    <t xml:space="preserve">AZ PRETA C/CAROÇO GOURM</t>
  </si>
  <si>
    <t xml:space="preserve">200 GR </t>
  </si>
  <si>
    <t xml:space="preserve">AZEITONA VERDE C/CAROÇO GOURMET</t>
  </si>
  <si>
    <t xml:space="preserve">AZEITONA VERDE S/CAROÇO GOURMET</t>
  </si>
  <si>
    <t xml:space="preserve">2003.10.00</t>
  </si>
  <si>
    <t xml:space="preserve">AZ VERDE C/ CAROÇO</t>
  </si>
  <si>
    <t xml:space="preserve">500 GR</t>
  </si>
  <si>
    <t xml:space="preserve">70 CXS</t>
  </si>
  <si>
    <t xml:space="preserve">450 GR</t>
  </si>
  <si>
    <t xml:space="preserve">400 GR</t>
  </si>
  <si>
    <t xml:space="preserve">AZ PRETA C/CAROÇO GOURMET</t>
  </si>
  <si>
    <t xml:space="preserve">7898647930001</t>
  </si>
  <si>
    <t xml:space="preserve">17898647930008</t>
  </si>
  <si>
    <t xml:space="preserve">80 GR</t>
  </si>
  <si>
    <t xml:space="preserve">112 CXS</t>
  </si>
  <si>
    <t xml:space="preserve">7898647930834</t>
  </si>
  <si>
    <t xml:space="preserve">17898647930831</t>
  </si>
  <si>
    <t xml:space="preserve">7898647930841</t>
  </si>
  <si>
    <t xml:space="preserve">17898647930848</t>
  </si>
  <si>
    <t xml:space="preserve">120 GR</t>
  </si>
  <si>
    <t xml:space="preserve">150 GR</t>
  </si>
  <si>
    <t xml:space="preserve">100 GR</t>
  </si>
  <si>
    <t xml:space="preserve">50 GR</t>
  </si>
  <si>
    <t xml:space="preserve">AZ VERDE  FATIADA</t>
  </si>
  <si>
    <t xml:space="preserve">1010 GR</t>
  </si>
  <si>
    <t xml:space="preserve">50 CXS</t>
  </si>
  <si>
    <t xml:space="preserve">AZ VERDE GRAUDA</t>
  </si>
  <si>
    <t xml:space="preserve">AZ VERDE MEDIA</t>
  </si>
  <si>
    <t xml:space="preserve">AZ VERDE MIUDA</t>
  </si>
  <si>
    <t xml:space="preserve">2 KG</t>
  </si>
  <si>
    <t xml:space="preserve">90 FDS</t>
  </si>
  <si>
    <t xml:space="preserve">AZ PRETA</t>
  </si>
  <si>
    <t xml:space="preserve">AZ PRETA FATIADA</t>
  </si>
  <si>
    <t xml:space="preserve">AZ PRETA SEM CAROÇO </t>
  </si>
  <si>
    <t xml:space="preserve">QUEIJO RALADO FINO</t>
  </si>
  <si>
    <t xml:space="preserve">40 GR</t>
  </si>
  <si>
    <t xml:space="preserve">0406.20.00</t>
  </si>
  <si>
    <t xml:space="preserve">330 CXS</t>
  </si>
  <si>
    <t xml:space="preserve">QUEIJO RALADO FIAPO</t>
  </si>
  <si>
    <t xml:space="preserve">288 CXS</t>
  </si>
  <si>
    <t xml:space="preserve">REPRESENTANTE:</t>
  </si>
  <si>
    <r>
      <rPr>
        <b val="true"/>
        <sz val="24"/>
        <rFont val="Calibri"/>
        <family val="2"/>
        <charset val="1"/>
      </rPr>
      <t xml:space="preserve">TABELA GRAN ROMANO  -  ATACAREJO
</t>
    </r>
    <r>
      <rPr>
        <b val="true"/>
        <sz val="10"/>
        <color rgb="FF001F60"/>
        <rFont val="Calibri"/>
        <family val="2"/>
        <charset val="1"/>
      </rPr>
      <t xml:space="preserve">                                                                                          ** TABELA VÁLIDA PARA OS ESTADOS</t>
    </r>
    <r>
      <rPr>
        <b val="true"/>
        <sz val="10"/>
        <rFont val="Calibri"/>
        <family val="2"/>
        <charset val="1"/>
      </rPr>
      <t xml:space="preserve">: SP - ES - MG - RJ       ATUALIZADA 23/06/2025                                                                  </t>
    </r>
  </si>
  <si>
    <r>
      <rPr>
        <b val="true"/>
        <sz val="24"/>
        <rFont val="Calibri"/>
        <family val="2"/>
        <charset val="1"/>
      </rPr>
      <t xml:space="preserve">TABELA GRAN ROMANO  -  ATACADO
</t>
    </r>
    <r>
      <rPr>
        <b val="true"/>
        <sz val="10"/>
        <color rgb="FF001F60"/>
        <rFont val="Calibri"/>
        <family val="2"/>
        <charset val="1"/>
      </rPr>
      <t xml:space="preserve">                                                                                          ** TABELA VÁLIDA PARA OS ESTADOS</t>
    </r>
    <r>
      <rPr>
        <b val="true"/>
        <sz val="10"/>
        <rFont val="Calibri"/>
        <family val="2"/>
        <charset val="1"/>
      </rPr>
      <t xml:space="preserve">: SP - ES - MG - RJ       ATUALIZADA 23/06/2025                                                                  </t>
    </r>
  </si>
  <si>
    <r>
      <rPr>
        <b val="true"/>
        <sz val="24"/>
        <rFont val="Calibri"/>
        <family val="2"/>
        <charset val="1"/>
      </rPr>
      <t xml:space="preserve">TABELA GRAN ROMANO  -  DISTRIBUIDOR
</t>
    </r>
    <r>
      <rPr>
        <b val="true"/>
        <sz val="10"/>
        <color rgb="FF001F60"/>
        <rFont val="Calibri"/>
        <family val="2"/>
        <charset val="1"/>
      </rPr>
      <t xml:space="preserve">                                                                                          ** TABELA VÁLIDA PARA OS ESTADOS</t>
    </r>
    <r>
      <rPr>
        <b val="true"/>
        <sz val="10"/>
        <rFont val="Calibri"/>
        <family val="2"/>
        <charset val="1"/>
      </rPr>
      <t xml:space="preserve">: SP - ES - MG - RJ       ATUALIZADA 23/06/2025                                                                  </t>
    </r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</si>
</sst>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-&quot;R$ &quot;* #,##0.00000_-;&quot;-R$ &quot;* #,##0.00000_-;_-&quot;R$ &quot;* \-?????_-;_-@_-"/>
    <numFmt numFmtId="166" formatCode="0.00%"/>
    <numFmt numFmtId="167" formatCode="General"/>
    <numFmt numFmtId="168" formatCode="_-&quot;R$ &quot;* #,##0.000_-;&quot;-R$ &quot;* #,##0.000_-;_-&quot;R$ &quot;* \-???_-;_-@_-"/>
    <numFmt numFmtId="169" formatCode="_-&quot;R$ &quot;* #,##0.00_-;&quot;-R$ &quot;* #,##0.00_-;_-&quot;R$ &quot;* \-??_-;_-@_-"/>
    <numFmt numFmtId="170" formatCode="_-&quot;R$ &quot;* #,##0.000_-;&quot;-R$ &quot;* #,##0.000_-;_-&quot;R$ &quot;* \-?????_-;_-@_-"/>
    <numFmt numFmtId="171" formatCode="&quot;R$ &quot;#,##0.00"/>
    <numFmt numFmtId="172" formatCode="0"/>
  </numFmts>
  <fonts count="3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3F3F3F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1"/>
      <color theme="0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5"/>
      <color theme="3"/>
      <name val="Arial"/>
      <family val="2"/>
      <charset val="1"/>
    </font>
    <font>
      <b val="true"/>
      <i val="true"/>
      <u val="single"/>
      <sz val="12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b val="true"/>
      <sz val="9"/>
      <color rgb="FF3F3F3F"/>
      <name val="Arial"/>
      <family val="2"/>
      <charset val="1"/>
    </font>
    <font>
      <b val="true"/>
      <sz val="11"/>
      <color theme="1"/>
      <name val="Arial"/>
      <family val="2"/>
      <charset val="1"/>
    </font>
    <font>
      <sz val="11"/>
      <color theme="1"/>
      <name val="Arial"/>
      <family val="2"/>
      <charset val="1"/>
    </font>
    <font>
      <b val="true"/>
      <sz val="11"/>
      <color theme="3"/>
      <name val="Arial"/>
      <family val="2"/>
      <charset val="1"/>
    </font>
    <font>
      <b val="true"/>
      <sz val="13"/>
      <color theme="3"/>
      <name val="Arial"/>
      <family val="2"/>
      <charset val="1"/>
    </font>
    <font>
      <sz val="10"/>
      <name val="Calibri"/>
      <family val="2"/>
      <charset val="1"/>
    </font>
    <font>
      <sz val="11"/>
      <color rgb="FF000000"/>
      <name val="Arial"/>
      <family val="0"/>
      <charset val="1"/>
    </font>
    <font>
      <sz val="10"/>
      <color rgb="FF000000"/>
      <name val="Calibri"/>
      <family val="2"/>
      <charset val="1"/>
    </font>
    <font>
      <b val="true"/>
      <sz val="10"/>
      <name val="Calibri"/>
      <family val="2"/>
      <charset val="1"/>
    </font>
    <font>
      <b val="true"/>
      <sz val="10.5"/>
      <color theme="3"/>
      <name val="Arial"/>
      <family val="2"/>
      <charset val="1"/>
    </font>
    <font>
      <b val="true"/>
      <sz val="10"/>
      <color rgb="FF000000"/>
      <name val="Times New Roman"/>
      <family val="1"/>
      <charset val="1"/>
    </font>
    <font>
      <b val="true"/>
      <sz val="24"/>
      <name val="Calibri"/>
      <family val="2"/>
      <charset val="1"/>
    </font>
    <font>
      <b val="true"/>
      <sz val="10"/>
      <color rgb="FF001F6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sz val="10"/>
      <color rgb="FF000000"/>
      <name val="Times New Roman"/>
      <family val="1"/>
      <charset val="1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b val="true"/>
      <sz val="11"/>
      <name val="Calibri"/>
      <family val="2"/>
      <charset val="1"/>
    </font>
    <font>
      <b val="true"/>
      <sz val="11"/>
      <name val="Calibri"/>
      <family val="0"/>
      <charset val="1"/>
    </font>
    <font>
      <b val="true"/>
      <sz val="10"/>
      <name val="Times New Roman"/>
      <family val="1"/>
      <charset val="1"/>
    </font>
  </fonts>
  <fills count="13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A5A5A5"/>
        <bgColor rgb="FFAEAAAA"/>
      </patternFill>
    </fill>
    <fill>
      <patternFill patternType="solid">
        <fgColor theme="6" tint="0.5999"/>
        <bgColor rgb="FFFEF2CD"/>
      </patternFill>
    </fill>
    <fill>
      <patternFill patternType="solid">
        <fgColor theme="6" tint="0.7999"/>
        <bgColor rgb="FFF2F2F2"/>
      </patternFill>
    </fill>
    <fill>
      <patternFill patternType="solid">
        <fgColor theme="4" tint="0.5999"/>
        <bgColor rgb="FFA0C2F9"/>
      </patternFill>
    </fill>
    <fill>
      <patternFill patternType="solid">
        <fgColor rgb="FFBF9000"/>
        <bgColor rgb="FF808000"/>
      </patternFill>
    </fill>
    <fill>
      <patternFill patternType="solid">
        <fgColor theme="5" tint="0.5999"/>
        <bgColor rgb="FFFFC7CE"/>
      </patternFill>
    </fill>
    <fill>
      <patternFill patternType="solid">
        <fgColor rgb="FFFFFFFF"/>
        <bgColor rgb="FFF2F2F2"/>
      </patternFill>
    </fill>
    <fill>
      <patternFill patternType="solid">
        <fgColor rgb="FF767171"/>
        <bgColor rgb="FF666699"/>
      </patternFill>
    </fill>
    <fill>
      <patternFill patternType="solid">
        <fgColor rgb="FFAFABAB"/>
        <bgColor rgb="FFAEAAAA"/>
      </patternFill>
    </fill>
    <fill>
      <patternFill patternType="solid">
        <fgColor rgb="FFAEAAAA"/>
        <bgColor rgb="FFAFABAB"/>
      </patternFill>
    </fill>
  </fills>
  <borders count="50">
    <border diagonalUp="false" diagonalDown="false">
      <left/>
      <right/>
      <top/>
      <bottom/>
      <diagonal/>
    </border>
    <border diagonalUp="false" diagonalDown="false"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 diagonalUp="false" diagonalDown="false"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 diagonalUp="false" diagonalDown="false">
      <left/>
      <right/>
      <top/>
      <bottom style="thick">
        <color theme="4"/>
      </bottom>
      <diagonal/>
    </border>
    <border diagonalUp="false" diagonalDown="false">
      <left/>
      <right/>
      <top/>
      <bottom style="medium">
        <color theme="4" tint="0.3999"/>
      </bottom>
      <diagonal/>
    </border>
    <border diagonalUp="false" diagonalDown="false">
      <left/>
      <right/>
      <top/>
      <bottom style="thick">
        <color theme="4" tint="0.4999"/>
      </bottom>
      <diagonal/>
    </border>
    <border diagonalUp="false" diagonalDown="false">
      <left style="thin">
        <color rgb="FF3F3F3F"/>
      </left>
      <right style="thin">
        <color rgb="FF3F3F3F"/>
      </right>
      <top style="thin">
        <color rgb="FF3F3F3F"/>
      </top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>
        <color rgb="FF3F3F3F"/>
      </left>
      <right style="thin">
        <color rgb="FF3F3F3F"/>
      </right>
      <top style="medium"/>
      <bottom style="thin">
        <color rgb="FF3F3F3F"/>
      </bottom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>
        <color theme="4" tint="0.3999"/>
      </bottom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 style="thick">
        <color theme="4" tint="0.4999"/>
      </bottom>
      <diagonal/>
    </border>
    <border diagonalUp="false" diagonalDown="false">
      <left style="double">
        <color rgb="FF3F3F3F"/>
      </left>
      <right style="medium"/>
      <top style="medium"/>
      <bottom style="double">
        <color rgb="FF3F3F3F"/>
      </bottom>
      <diagonal/>
    </border>
    <border diagonalUp="false" diagonalDown="false">
      <left/>
      <right style="medium"/>
      <top/>
      <bottom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>
        <color rgb="FF3F3F3F"/>
      </right>
      <top/>
      <bottom style="thin">
        <color rgb="FF3F3F3F"/>
      </bottom>
      <diagonal/>
    </border>
    <border diagonalUp="false" diagonalDown="false">
      <left/>
      <right style="medium"/>
      <top/>
      <bottom style="medium">
        <color theme="4" tint="0.3999"/>
      </bottom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thin">
        <color rgb="FF3F3F3F"/>
      </right>
      <top style="medium"/>
      <bottom style="medium"/>
      <diagonal/>
    </border>
    <border diagonalUp="false" diagonalDown="false">
      <left style="thin">
        <color rgb="FF3F3F3F"/>
      </left>
      <right style="thin">
        <color rgb="FF3F3F3F"/>
      </right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</borders>
  <cellStyleXfs count="2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1" applyFont="true" applyBorder="true" applyAlignment="true" applyProtection="false">
      <alignment horizontal="general" vertical="bottom" textRotation="0" wrapText="false" indent="0" shrinkToFit="false"/>
    </xf>
    <xf numFmtId="164" fontId="6" fillId="3" borderId="2" applyFont="true" applyBorder="true" applyAlignment="true" applyProtection="false">
      <alignment horizontal="general" vertical="bottom" textRotation="0" wrapText="false" indent="0" shrinkToFit="false"/>
    </xf>
    <xf numFmtId="164" fontId="9" fillId="0" borderId="3" applyFont="true" applyBorder="true" applyAlignment="true" applyProtection="false">
      <alignment horizontal="general" vertical="bottom" textRotation="0" wrapText="false" indent="0" shrinkToFit="false"/>
    </xf>
    <xf numFmtId="164" fontId="14" fillId="4" borderId="0" applyFont="true" applyBorder="false" applyAlignment="true" applyProtection="false">
      <alignment horizontal="general" vertical="bottom" textRotation="0" wrapText="false" indent="0" shrinkToFit="false"/>
    </xf>
    <xf numFmtId="164" fontId="15" fillId="0" borderId="4" applyFont="true" applyBorder="true" applyAlignment="true" applyProtection="false">
      <alignment horizontal="general" vertical="bottom" textRotation="0" wrapText="false" indent="0" shrinkToFit="false"/>
    </xf>
    <xf numFmtId="164" fontId="16" fillId="0" borderId="5" applyFont="true" applyBorder="true" applyAlignment="true" applyProtection="false">
      <alignment horizontal="general" vertical="bottom" textRotation="0" wrapText="false" indent="0" shrinkToFit="false"/>
    </xf>
    <xf numFmtId="164" fontId="14" fillId="5" borderId="0" applyFont="true" applyBorder="false" applyAlignment="true" applyProtection="false">
      <alignment horizontal="general" vertical="bottom" textRotation="0" wrapText="false" indent="0" shrinkToFit="false"/>
    </xf>
    <xf numFmtId="164" fontId="14" fillId="6" borderId="0" applyFont="true" applyBorder="false" applyAlignment="true" applyProtection="false">
      <alignment horizontal="general" vertical="bottom" textRotation="0" wrapText="false" indent="0" shrinkToFit="false"/>
    </xf>
  </cellStyleXfs>
  <cellXfs count="1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2" borderId="6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6" fillId="3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3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0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2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0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2" borderId="1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13" fillId="4" borderId="16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17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8" fillId="0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0" borderId="2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8" fillId="0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10" fillId="0" borderId="2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16" fillId="8" borderId="24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4" borderId="24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0" fillId="0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3" borderId="25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2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8" fillId="0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24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9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9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9" fontId="1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9" fillId="10" borderId="2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10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10" borderId="2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15" fillId="0" borderId="0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9" fillId="0" borderId="3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11" borderId="3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0" fillId="11" borderId="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0" fillId="11" borderId="3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9" fontId="4" fillId="2" borderId="7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9" fontId="15" fillId="9" borderId="7" xfId="24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9" fontId="21" fillId="9" borderId="7" xfId="24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9" fontId="4" fillId="2" borderId="32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9" fontId="15" fillId="9" borderId="4" xfId="24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9" fontId="15" fillId="9" borderId="33" xfId="24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0" fillId="9" borderId="3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0" fillId="9" borderId="3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0" fillId="9" borderId="35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20" fillId="9" borderId="26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9" fontId="18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2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3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9" fillId="0" borderId="3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9" fontId="18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4" fillId="5" borderId="7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2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9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9" borderId="3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9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9" borderId="3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9" fillId="0" borderId="3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2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top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71" fontId="13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22" fillId="9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top" textRotation="0" wrapText="false" indent="0" shrinkToFit="false"/>
      <protection locked="true" hidden="false"/>
    </xf>
    <xf numFmtId="164" fontId="0" fillId="9" borderId="0" xfId="0" applyFont="false" applyBorder="false" applyAlignment="true" applyProtection="true">
      <alignment horizontal="left" vertical="top" textRotation="0" wrapText="false" indent="0" shrinkToFit="false"/>
      <protection locked="true" hidden="false"/>
    </xf>
    <xf numFmtId="164" fontId="23" fillId="0" borderId="39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25" fillId="9" borderId="16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2" borderId="4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4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4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13" fillId="6" borderId="43" xfId="27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26" fillId="9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26" fillId="9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27" fillId="12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71" fontId="27" fillId="12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27" fillId="12" borderId="26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72" fontId="11" fillId="0" borderId="36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27" fillId="0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8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11" fillId="0" borderId="44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9" fontId="8" fillId="0" borderId="7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9" fontId="8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8" fillId="0" borderId="4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9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7" fontId="22" fillId="9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7" fillId="1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1" fontId="27" fillId="1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7" fillId="12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1" fillId="0" borderId="7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27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2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7" fillId="0" borderId="4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8" fillId="0" borderId="4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11" fillId="0" borderId="47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9" fontId="8" fillId="0" borderId="4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0" borderId="4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3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12" borderId="1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30" fillId="12" borderId="1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31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3" fillId="6" borderId="48" xfId="27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13" fillId="6" borderId="48" xfId="27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13" fillId="6" borderId="49" xfId="27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Output" xfId="20"/>
    <cellStyle name="Excel Built-in Check Cell" xfId="21"/>
    <cellStyle name="Excel Built-in Heading 1" xfId="22"/>
    <cellStyle name="Excel Built-in 40% - Accent3" xfId="23"/>
    <cellStyle name="Excel Built-in Heading 3" xfId="24"/>
    <cellStyle name="Excel Built-in Heading 2" xfId="25"/>
    <cellStyle name="Excel Built-in 20% - Accent3" xfId="26"/>
    <cellStyle name="Excel Built-in 40% - Accent1" xfId="27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AFABAB"/>
      <rgbColor rgb="FF767171"/>
      <rgbColor rgb="FF8EB6F8"/>
      <rgbColor rgb="FF993366"/>
      <rgbColor rgb="FFFEF2CD"/>
      <rgbColor rgb="FFF2F2F2"/>
      <rgbColor rgb="FF660066"/>
      <rgbColor rgb="FFFF8080"/>
      <rgbColor rgb="FF0066CC"/>
      <rgbColor rgb="FFB3CEF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A6E4B7"/>
      <rgbColor rgb="FFC6EFCE"/>
      <rgbColor rgb="FFFDE49B"/>
      <rgbColor rgb="FFA0C2F9"/>
      <rgbColor rgb="FFF7B4AE"/>
      <rgbColor rgb="FFAEAAAA"/>
      <rgbColor rgb="FFFFC7CE"/>
      <rgbColor rgb="FF4285F4"/>
      <rgbColor rgb="FF33CCCC"/>
      <rgbColor rgb="FF99CC00"/>
      <rgbColor rgb="FFFFCC00"/>
      <rgbColor rgb="FFBF9000"/>
      <rgbColor rgb="FFFF6600"/>
      <rgbColor rgb="FF666699"/>
      <rgbColor rgb="FFA5A5A5"/>
      <rgbColor rgb="FF001F60"/>
      <rgbColor rgb="FF339966"/>
      <rgbColor rgb="FF003300"/>
      <rgbColor rgb="FF333300"/>
      <rgbColor rgb="FF993300"/>
      <rgbColor rgb="FF993366"/>
      <rgbColor rgb="FF333399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externalLink" Target="externalLinks/externalLink1.xml"/><Relationship Id="rId14" Type="http://schemas.openxmlformats.org/officeDocument/2006/relationships/externalLink" Target="externalLinks/externalLink2.xml"/><Relationship Id="rId15" Type="http://schemas.openxmlformats.org/officeDocument/2006/relationships/externalLink" Target="externalLinks/externalLink3.xml"/><Relationship Id="rId1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50</xdr:row>
      <xdr:rowOff>166320</xdr:rowOff>
    </xdr:from>
    <xdr:to>
      <xdr:col>7</xdr:col>
      <xdr:colOff>162720</xdr:colOff>
      <xdr:row>68</xdr:row>
      <xdr:rowOff>115200</xdr:rowOff>
    </xdr:to>
    <xdr:pic>
      <xdr:nvPicPr>
        <xdr:cNvPr id="0" name="image2.jpeg" descr=""/>
        <xdr:cNvPicPr/>
      </xdr:nvPicPr>
      <xdr:blipFill>
        <a:blip r:embed="rId1"/>
        <a:stretch/>
      </xdr:blipFill>
      <xdr:spPr>
        <a:xfrm>
          <a:off x="0" y="14906520"/>
          <a:ext cx="8533800" cy="3035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1428120</xdr:colOff>
      <xdr:row>0</xdr:row>
      <xdr:rowOff>1056600</xdr:rowOff>
    </xdr:to>
    <xdr:pic>
      <xdr:nvPicPr>
        <xdr:cNvPr id="1" name="Imagem 2" descr=""/>
        <xdr:cNvPicPr/>
      </xdr:nvPicPr>
      <xdr:blipFill>
        <a:blip r:embed="rId2"/>
        <a:stretch/>
      </xdr:blipFill>
      <xdr:spPr>
        <a:xfrm>
          <a:off x="0" y="0"/>
          <a:ext cx="2250360" cy="1056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50</xdr:row>
      <xdr:rowOff>166320</xdr:rowOff>
    </xdr:from>
    <xdr:to>
      <xdr:col>6</xdr:col>
      <xdr:colOff>788040</xdr:colOff>
      <xdr:row>68</xdr:row>
      <xdr:rowOff>115200</xdr:rowOff>
    </xdr:to>
    <xdr:pic>
      <xdr:nvPicPr>
        <xdr:cNvPr id="2" name="image2.jpeg" descr=""/>
        <xdr:cNvPicPr/>
      </xdr:nvPicPr>
      <xdr:blipFill>
        <a:blip r:embed="rId1"/>
        <a:stretch/>
      </xdr:blipFill>
      <xdr:spPr>
        <a:xfrm>
          <a:off x="0" y="14906520"/>
          <a:ext cx="8533080" cy="3035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1437480</xdr:colOff>
      <xdr:row>0</xdr:row>
      <xdr:rowOff>1046880</xdr:rowOff>
    </xdr:to>
    <xdr:pic>
      <xdr:nvPicPr>
        <xdr:cNvPr id="3" name="Imagem 2" descr=""/>
        <xdr:cNvPicPr/>
      </xdr:nvPicPr>
      <xdr:blipFill>
        <a:blip r:embed="rId2"/>
        <a:stretch/>
      </xdr:blipFill>
      <xdr:spPr>
        <a:xfrm>
          <a:off x="0" y="0"/>
          <a:ext cx="2252160" cy="10468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50</xdr:row>
      <xdr:rowOff>166320</xdr:rowOff>
    </xdr:from>
    <xdr:to>
      <xdr:col>6</xdr:col>
      <xdr:colOff>788040</xdr:colOff>
      <xdr:row>68</xdr:row>
      <xdr:rowOff>115200</xdr:rowOff>
    </xdr:to>
    <xdr:pic>
      <xdr:nvPicPr>
        <xdr:cNvPr id="4" name="image2.jpeg" descr=""/>
        <xdr:cNvPicPr/>
      </xdr:nvPicPr>
      <xdr:blipFill>
        <a:blip r:embed="rId1"/>
        <a:stretch/>
      </xdr:blipFill>
      <xdr:spPr>
        <a:xfrm>
          <a:off x="0" y="14906520"/>
          <a:ext cx="8533080" cy="3035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1437480</xdr:colOff>
      <xdr:row>0</xdr:row>
      <xdr:rowOff>1056600</xdr:rowOff>
    </xdr:to>
    <xdr:pic>
      <xdr:nvPicPr>
        <xdr:cNvPr id="5" name="Imagem 2" descr=""/>
        <xdr:cNvPicPr/>
      </xdr:nvPicPr>
      <xdr:blipFill>
        <a:blip r:embed="rId2"/>
        <a:stretch/>
      </xdr:blipFill>
      <xdr:spPr>
        <a:xfrm>
          <a:off x="0" y="0"/>
          <a:ext cx="2252160" cy="1056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50</xdr:row>
      <xdr:rowOff>166320</xdr:rowOff>
    </xdr:from>
    <xdr:to>
      <xdr:col>6</xdr:col>
      <xdr:colOff>788040</xdr:colOff>
      <xdr:row>68</xdr:row>
      <xdr:rowOff>115200</xdr:rowOff>
    </xdr:to>
    <xdr:pic>
      <xdr:nvPicPr>
        <xdr:cNvPr id="6" name="image2.jpeg" descr=""/>
        <xdr:cNvPicPr/>
      </xdr:nvPicPr>
      <xdr:blipFill>
        <a:blip r:embed="rId1"/>
        <a:stretch/>
      </xdr:blipFill>
      <xdr:spPr>
        <a:xfrm>
          <a:off x="0" y="14906520"/>
          <a:ext cx="8533080" cy="3035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1437480</xdr:colOff>
      <xdr:row>0</xdr:row>
      <xdr:rowOff>1056600</xdr:rowOff>
    </xdr:to>
    <xdr:pic>
      <xdr:nvPicPr>
        <xdr:cNvPr id="7" name="Imagem 2" descr=""/>
        <xdr:cNvPicPr/>
      </xdr:nvPicPr>
      <xdr:blipFill>
        <a:blip r:embed="rId2"/>
        <a:stretch/>
      </xdr:blipFill>
      <xdr:spPr>
        <a:xfrm>
          <a:off x="0" y="0"/>
          <a:ext cx="2252160" cy="1056600"/>
        </a:xfrm>
        <a:prstGeom prst="rect">
          <a:avLst/>
        </a:prstGeom>
        <a:ln w="0">
          <a:noFill/>
        </a:ln>
      </xdr:spPr>
    </xdr:pic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../../../Rog&#233;rio%20Roque/Downloads/CADASTRO%20ITENS%20(1)%20(1).xlsx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https://d.docs.live.net/f69216801709a0bc/&#193;rea%20de%20Trabalho/GRAN%20ROMANO/TABELAS%20DE%20PRE&#199;O/TABELA%20M&#195;E%20-%20FEVEREIRO%202026.xlsx" TargetMode="External"/>
</Relationships>
</file>

<file path=xl/externalLinks/_rels/externalLink3.xml.rels><?xml version="1.0" encoding="UTF-8"?>
<Relationships xmlns="http://schemas.openxmlformats.org/package/2006/relationships"><Relationship Id="rId1" Type="http://schemas.openxmlformats.org/officeDocument/2006/relationships/externalLinkPath" Target="../../../../../../../Rog&#233;rio%20Roque/Downloads/CADASTRO%20ITENS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DUTOS ATIVOS"/>
    </sheetNames>
    <sheetDataSet>
      <sheetData sheetId="0">
        <row r="3">
          <cell r="A3" t="str">
            <v>CÓD</v>
          </cell>
          <cell r="B3" t="str">
            <v>DESCRIÇÃO DO PRODUTO</v>
          </cell>
          <cell r="C3" t="str">
            <v>PESO</v>
          </cell>
          <cell r="D3" t="str">
            <v>PESO</v>
          </cell>
          <cell r="E3" t="str">
            <v>PESO</v>
          </cell>
          <cell r="F3" t="str">
            <v>PESO</v>
          </cell>
          <cell r="G3" t="str">
            <v>QTDE NA
CAIXA</v>
          </cell>
          <cell r="H3" t="str">
            <v>CÓDIGO DE BARRAS</v>
          </cell>
        </row>
        <row r="3">
          <cell r="L3" t="str">
            <v>NCM</v>
          </cell>
          <cell r="M3" t="str">
            <v>ALIQ.
ICMS</v>
          </cell>
          <cell r="N3" t="str">
            <v>REDUÇÃO
ICMS</v>
          </cell>
          <cell r="O3" t="str">
            <v>IPI</v>
          </cell>
          <cell r="P3" t="str">
            <v>% IVA
MVA</v>
          </cell>
          <cell r="Q3" t="str">
            <v>CST</v>
          </cell>
          <cell r="R3" t="str">
            <v>PIS/ COFINS</v>
          </cell>
          <cell r="S3" t="str">
            <v>CST</v>
          </cell>
          <cell r="T3" t="str">
            <v>CEST</v>
          </cell>
          <cell r="U3" t="str">
            <v>VALIDADE
EM MESES</v>
          </cell>
          <cell r="V3" t="str">
            <v>VALIDADE
EM DIAS</v>
          </cell>
          <cell r="W3" t="str">
            <v>DIMENSÕES EMBAL. (CX-CM)</v>
          </cell>
        </row>
        <row r="3">
          <cell r="Z3" t="str">
            <v>DIMENSÕES EMBAL. (UND-CM)</v>
          </cell>
        </row>
        <row r="3">
          <cell r="AC3" t="str">
            <v>PALETIZAÇÃO</v>
          </cell>
        </row>
        <row r="4">
          <cell r="C4" t="str">
            <v>BRUTO UN.</v>
          </cell>
          <cell r="D4" t="str">
            <v>LIQUIDO UN.</v>
          </cell>
          <cell r="E4" t="str">
            <v>DRENADO UN.</v>
          </cell>
          <cell r="F4" t="str">
            <v>DRENADO CX.</v>
          </cell>
        </row>
        <row r="4">
          <cell r="H4" t="str">
            <v>EAN 13
UNIDADE</v>
          </cell>
          <cell r="I4" t="str">
            <v>DUN 14
CAIXA</v>
          </cell>
        </row>
        <row r="4">
          <cell r="L4" t="str">
            <v>Fiscal</v>
          </cell>
        </row>
        <row r="4">
          <cell r="Q4" t="str">
            <v>PIS/COFINS</v>
          </cell>
        </row>
        <row r="4">
          <cell r="S4" t="str">
            <v>ICMS</v>
          </cell>
        </row>
        <row r="4">
          <cell r="W4" t="str">
            <v>ALT</v>
          </cell>
          <cell r="X4" t="str">
            <v>LARG</v>
          </cell>
          <cell r="Y4" t="str">
            <v>COMP</v>
          </cell>
          <cell r="Z4" t="str">
            <v>ALT</v>
          </cell>
          <cell r="AA4" t="str">
            <v>LARG</v>
          </cell>
          <cell r="AB4" t="str">
            <v>COMP</v>
          </cell>
          <cell r="AC4" t="str">
            <v>BASE</v>
          </cell>
          <cell r="AD4" t="str">
            <v>ALTURA</v>
          </cell>
        </row>
        <row r="7">
          <cell r="A7">
            <v>9627</v>
          </cell>
          <cell r="B7" t="str">
            <v>QUEIJO PARMESÃO RALADO FINO SACHET 40 GR</v>
          </cell>
          <cell r="C7">
            <v>0.054</v>
          </cell>
          <cell r="D7">
            <v>0.04</v>
          </cell>
          <cell r="E7">
            <v>0.04</v>
          </cell>
          <cell r="F7">
            <v>1</v>
          </cell>
          <cell r="G7">
            <v>25</v>
          </cell>
          <cell r="H7">
            <v>7898647930018</v>
          </cell>
          <cell r="I7">
            <v>17898647930015</v>
          </cell>
        </row>
        <row r="7">
          <cell r="L7" t="str">
            <v>0406.20.00</v>
          </cell>
          <cell r="M7">
            <v>0.12</v>
          </cell>
          <cell r="N7">
            <v>0</v>
          </cell>
          <cell r="O7">
            <v>0</v>
          </cell>
        </row>
        <row r="7">
          <cell r="Q7">
            <v>6</v>
          </cell>
          <cell r="R7">
            <v>0</v>
          </cell>
          <cell r="S7">
            <v>0</v>
          </cell>
          <cell r="T7" t="str">
            <v>17.024.00</v>
          </cell>
          <cell r="U7">
            <v>6</v>
          </cell>
          <cell r="V7">
            <v>180</v>
          </cell>
          <cell r="W7">
            <v>13.5</v>
          </cell>
          <cell r="X7">
            <v>31</v>
          </cell>
          <cell r="Y7">
            <v>11</v>
          </cell>
          <cell r="Z7">
            <v>14</v>
          </cell>
          <cell r="AA7">
            <v>9.5</v>
          </cell>
          <cell r="AB7">
            <v>2</v>
          </cell>
          <cell r="AC7">
            <v>33</v>
          </cell>
          <cell r="AD7">
            <v>9</v>
          </cell>
        </row>
        <row r="8">
          <cell r="A8">
            <v>9628</v>
          </cell>
          <cell r="B8" t="str">
            <v>QUEIJO PARMESÃO RALADO FIAPO  SACHET 40 GR</v>
          </cell>
          <cell r="C8">
            <v>0.054</v>
          </cell>
          <cell r="D8">
            <v>0.04</v>
          </cell>
          <cell r="E8">
            <v>0.04</v>
          </cell>
          <cell r="F8">
            <v>1</v>
          </cell>
          <cell r="G8">
            <v>25</v>
          </cell>
          <cell r="H8">
            <v>7898647930025</v>
          </cell>
          <cell r="I8">
            <v>17898647930022</v>
          </cell>
        </row>
        <row r="8">
          <cell r="L8" t="str">
            <v>0406.20.00</v>
          </cell>
          <cell r="M8">
            <v>0.12</v>
          </cell>
          <cell r="N8">
            <v>0</v>
          </cell>
          <cell r="O8">
            <v>0</v>
          </cell>
        </row>
        <row r="8">
          <cell r="Q8">
            <v>6</v>
          </cell>
          <cell r="R8">
            <v>0</v>
          </cell>
          <cell r="S8">
            <v>0</v>
          </cell>
          <cell r="T8" t="str">
            <v>17.024.00</v>
          </cell>
          <cell r="U8">
            <v>6</v>
          </cell>
          <cell r="V8">
            <v>180</v>
          </cell>
          <cell r="W8">
            <v>17.5</v>
          </cell>
          <cell r="X8">
            <v>31</v>
          </cell>
          <cell r="Y8">
            <v>11</v>
          </cell>
          <cell r="Z8">
            <v>14</v>
          </cell>
          <cell r="AA8">
            <v>9.5</v>
          </cell>
          <cell r="AB8">
            <v>2</v>
          </cell>
          <cell r="AC8">
            <v>30</v>
          </cell>
          <cell r="AD8">
            <v>6</v>
          </cell>
        </row>
        <row r="9">
          <cell r="A9">
            <v>9627</v>
          </cell>
          <cell r="B9" t="str">
            <v>QUEIJO PARMESÃO RALADO FINO SACHET 40 GR</v>
          </cell>
          <cell r="C9">
            <v>0.054</v>
          </cell>
          <cell r="D9">
            <v>0.04</v>
          </cell>
          <cell r="E9">
            <v>0.04</v>
          </cell>
          <cell r="F9">
            <v>10</v>
          </cell>
          <cell r="G9">
            <v>250</v>
          </cell>
          <cell r="H9">
            <v>7898647930018</v>
          </cell>
          <cell r="I9">
            <v>27898647930012</v>
          </cell>
        </row>
        <row r="9">
          <cell r="L9" t="str">
            <v>0406.20.00</v>
          </cell>
          <cell r="M9">
            <v>0.12</v>
          </cell>
          <cell r="N9">
            <v>0</v>
          </cell>
          <cell r="O9">
            <v>0</v>
          </cell>
        </row>
        <row r="9">
          <cell r="Q9">
            <v>6</v>
          </cell>
          <cell r="R9">
            <v>0</v>
          </cell>
          <cell r="S9">
            <v>0</v>
          </cell>
          <cell r="T9" t="str">
            <v>17.024.00</v>
          </cell>
          <cell r="U9">
            <v>6</v>
          </cell>
          <cell r="V9">
            <v>180</v>
          </cell>
          <cell r="W9">
            <v>25</v>
          </cell>
          <cell r="X9">
            <v>27.5</v>
          </cell>
          <cell r="Y9">
            <v>37</v>
          </cell>
          <cell r="Z9">
            <v>14</v>
          </cell>
          <cell r="AA9">
            <v>9.5</v>
          </cell>
          <cell r="AB9">
            <v>2</v>
          </cell>
          <cell r="AC9">
            <v>10</v>
          </cell>
          <cell r="AD9">
            <v>4</v>
          </cell>
        </row>
        <row r="10">
          <cell r="A10">
            <v>9628</v>
          </cell>
          <cell r="B10" t="str">
            <v>QUEIJO PARMESÃO RALADO FIAPO  SACHET 40 GR</v>
          </cell>
          <cell r="C10">
            <v>0.054</v>
          </cell>
          <cell r="D10">
            <v>0.04</v>
          </cell>
          <cell r="E10">
            <v>0.04</v>
          </cell>
          <cell r="F10">
            <v>10</v>
          </cell>
          <cell r="G10">
            <v>250</v>
          </cell>
          <cell r="H10">
            <v>7898647930025</v>
          </cell>
          <cell r="I10">
            <v>27898647930029</v>
          </cell>
        </row>
        <row r="10">
          <cell r="L10" t="str">
            <v>0406.20.00</v>
          </cell>
          <cell r="M10">
            <v>0.12</v>
          </cell>
          <cell r="N10">
            <v>0</v>
          </cell>
          <cell r="O10">
            <v>0</v>
          </cell>
        </row>
        <row r="10">
          <cell r="Q10">
            <v>6</v>
          </cell>
          <cell r="R10">
            <v>0</v>
          </cell>
          <cell r="S10">
            <v>0</v>
          </cell>
          <cell r="T10" t="str">
            <v>17.024.00</v>
          </cell>
          <cell r="U10">
            <v>6</v>
          </cell>
          <cell r="V10">
            <v>180</v>
          </cell>
          <cell r="W10">
            <v>25</v>
          </cell>
          <cell r="X10">
            <v>27.5</v>
          </cell>
          <cell r="Y10">
            <v>37</v>
          </cell>
          <cell r="Z10">
            <v>14</v>
          </cell>
          <cell r="AA10">
            <v>9.5</v>
          </cell>
          <cell r="AB10">
            <v>2</v>
          </cell>
          <cell r="AC10">
            <v>10</v>
          </cell>
          <cell r="AD10">
            <v>4</v>
          </cell>
        </row>
        <row r="11">
          <cell r="A11">
            <v>9643</v>
          </cell>
          <cell r="B11" t="str">
            <v>QUEIJO PARMESÃO RALADO FINO SACHET 400 GR</v>
          </cell>
          <cell r="C11">
            <v>0.54</v>
          </cell>
          <cell r="D11">
            <v>0.4</v>
          </cell>
          <cell r="E11">
            <v>0.4</v>
          </cell>
        </row>
        <row r="11">
          <cell r="H11">
            <v>7898647930902</v>
          </cell>
        </row>
        <row r="11">
          <cell r="L11" t="str">
            <v>0406.20.00</v>
          </cell>
          <cell r="M11">
            <v>0.12</v>
          </cell>
          <cell r="N11">
            <v>0</v>
          </cell>
          <cell r="O11">
            <v>0</v>
          </cell>
        </row>
        <row r="11">
          <cell r="Q11">
            <v>6</v>
          </cell>
          <cell r="R11">
            <v>0</v>
          </cell>
          <cell r="S11">
            <v>0</v>
          </cell>
          <cell r="T11" t="str">
            <v>17.024.00</v>
          </cell>
          <cell r="U11">
            <v>6</v>
          </cell>
          <cell r="V11">
            <v>180</v>
          </cell>
          <cell r="W11">
            <v>25</v>
          </cell>
          <cell r="X11">
            <v>27.5</v>
          </cell>
          <cell r="Y11">
            <v>37</v>
          </cell>
          <cell r="Z11">
            <v>29</v>
          </cell>
          <cell r="AA11">
            <v>10</v>
          </cell>
          <cell r="AB11">
            <v>2</v>
          </cell>
          <cell r="AC11">
            <v>10</v>
          </cell>
          <cell r="AD11">
            <v>4</v>
          </cell>
        </row>
        <row r="12">
          <cell r="A12">
            <v>9644</v>
          </cell>
          <cell r="B12" t="str">
            <v>QUEIJO PARMESÃO RALADO FINO SACHET 800 GR</v>
          </cell>
          <cell r="C12">
            <v>1.08</v>
          </cell>
          <cell r="D12">
            <v>0.8</v>
          </cell>
          <cell r="E12">
            <v>0.8</v>
          </cell>
        </row>
        <row r="12">
          <cell r="H12">
            <v>7898647930919</v>
          </cell>
        </row>
        <row r="12">
          <cell r="L12" t="str">
            <v>0406.20.00</v>
          </cell>
          <cell r="M12">
            <v>0.12</v>
          </cell>
          <cell r="N12">
            <v>0</v>
          </cell>
          <cell r="O12">
            <v>0</v>
          </cell>
        </row>
        <row r="12">
          <cell r="Q12">
            <v>6</v>
          </cell>
          <cell r="R12">
            <v>0</v>
          </cell>
          <cell r="S12">
            <v>0</v>
          </cell>
          <cell r="T12" t="str">
            <v>17.024.00</v>
          </cell>
          <cell r="U12">
            <v>6</v>
          </cell>
          <cell r="V12">
            <v>180</v>
          </cell>
          <cell r="W12">
            <v>25</v>
          </cell>
          <cell r="X12">
            <v>27.5</v>
          </cell>
          <cell r="Y12">
            <v>37</v>
          </cell>
          <cell r="Z12">
            <v>32</v>
          </cell>
          <cell r="AA12">
            <v>22</v>
          </cell>
          <cell r="AB12">
            <v>2</v>
          </cell>
          <cell r="AC12">
            <v>10</v>
          </cell>
          <cell r="AD12">
            <v>4</v>
          </cell>
        </row>
        <row r="14">
          <cell r="A14">
            <v>9645</v>
          </cell>
          <cell r="B14" t="str">
            <v>AZEITONA VERDE FATIADA VIDRO 160 GR</v>
          </cell>
          <cell r="C14">
            <v>0.56</v>
          </cell>
          <cell r="D14" t="str">
            <v>345 GR</v>
          </cell>
          <cell r="E14">
            <v>0.16</v>
          </cell>
          <cell r="F14">
            <v>1.92</v>
          </cell>
          <cell r="G14">
            <v>12</v>
          </cell>
          <cell r="H14">
            <v>7898647930032</v>
          </cell>
          <cell r="I14">
            <v>17898647930039</v>
          </cell>
        </row>
        <row r="14">
          <cell r="L14" t="str">
            <v>2005.70.00</v>
          </cell>
          <cell r="M14">
            <v>0.12</v>
          </cell>
          <cell r="N14">
            <v>0</v>
          </cell>
          <cell r="O14">
            <v>0</v>
          </cell>
          <cell r="P14">
            <v>0.6088</v>
          </cell>
          <cell r="Q14">
            <v>1</v>
          </cell>
          <cell r="R14" t="str">
            <v>1,65% / 7,6%</v>
          </cell>
          <cell r="S14">
            <v>0</v>
          </cell>
          <cell r="T14" t="str">
            <v>17.092.00</v>
          </cell>
          <cell r="U14">
            <v>24.24</v>
          </cell>
          <cell r="V14">
            <v>720</v>
          </cell>
          <cell r="W14">
            <v>16.5</v>
          </cell>
          <cell r="X14">
            <v>20</v>
          </cell>
          <cell r="Y14">
            <v>26</v>
          </cell>
          <cell r="Z14">
            <v>16.5</v>
          </cell>
          <cell r="AA14">
            <v>6.5</v>
          </cell>
          <cell r="AB14">
            <v>6.5</v>
          </cell>
          <cell r="AC14">
            <v>22</v>
          </cell>
          <cell r="AD14">
            <v>7</v>
          </cell>
        </row>
        <row r="15">
          <cell r="A15">
            <v>9646</v>
          </cell>
          <cell r="B15" t="str">
            <v>AZEITONA VERDE SEM CAROÇO VIDRO 160 GR</v>
          </cell>
          <cell r="C15">
            <v>0.56</v>
          </cell>
          <cell r="D15" t="str">
            <v>345 GR</v>
          </cell>
          <cell r="E15">
            <v>0.16</v>
          </cell>
          <cell r="F15">
            <v>1.92</v>
          </cell>
          <cell r="G15">
            <v>12</v>
          </cell>
          <cell r="H15">
            <v>7898647930049</v>
          </cell>
          <cell r="I15">
            <v>17898647930046</v>
          </cell>
        </row>
        <row r="15">
          <cell r="L15" t="str">
            <v>2005.70.00</v>
          </cell>
          <cell r="M15">
            <v>0.12</v>
          </cell>
          <cell r="N15">
            <v>0</v>
          </cell>
          <cell r="O15">
            <v>0</v>
          </cell>
          <cell r="P15">
            <v>0.6088</v>
          </cell>
          <cell r="Q15">
            <v>1</v>
          </cell>
          <cell r="R15" t="str">
            <v>1,65% / 7,6%</v>
          </cell>
          <cell r="S15">
            <v>0</v>
          </cell>
          <cell r="T15" t="str">
            <v>17.092.00</v>
          </cell>
          <cell r="U15">
            <v>24</v>
          </cell>
          <cell r="V15">
            <v>720</v>
          </cell>
          <cell r="W15">
            <v>16.5</v>
          </cell>
          <cell r="X15">
            <v>20</v>
          </cell>
          <cell r="Y15">
            <v>26</v>
          </cell>
          <cell r="Z15">
            <v>16.5</v>
          </cell>
          <cell r="AA15">
            <v>6.5</v>
          </cell>
          <cell r="AB15">
            <v>6.5</v>
          </cell>
          <cell r="AC15">
            <v>22</v>
          </cell>
          <cell r="AD15">
            <v>7</v>
          </cell>
        </row>
        <row r="16">
          <cell r="A16">
            <v>9647</v>
          </cell>
          <cell r="B16" t="str">
            <v>AZEITONA VERDE RECHEADA VIDRO 180 GR</v>
          </cell>
          <cell r="C16">
            <v>0.59</v>
          </cell>
          <cell r="D16" t="str">
            <v>345 GR</v>
          </cell>
          <cell r="E16">
            <v>0.18</v>
          </cell>
          <cell r="F16">
            <v>2.16</v>
          </cell>
          <cell r="G16">
            <v>12</v>
          </cell>
          <cell r="H16">
            <v>7898647930056</v>
          </cell>
          <cell r="I16">
            <v>17898647930053</v>
          </cell>
        </row>
        <row r="16">
          <cell r="L16" t="str">
            <v>2005.70.00</v>
          </cell>
          <cell r="M16">
            <v>0.12</v>
          </cell>
          <cell r="N16">
            <v>0</v>
          </cell>
          <cell r="O16">
            <v>0</v>
          </cell>
          <cell r="P16">
            <v>0.6088</v>
          </cell>
          <cell r="Q16">
            <v>1</v>
          </cell>
          <cell r="R16" t="str">
            <v>1,65% / 7,6%</v>
          </cell>
          <cell r="S16">
            <v>0</v>
          </cell>
          <cell r="T16" t="str">
            <v>17.092.00</v>
          </cell>
          <cell r="U16">
            <v>24</v>
          </cell>
          <cell r="V16">
            <v>720</v>
          </cell>
          <cell r="W16">
            <v>16.5</v>
          </cell>
          <cell r="X16">
            <v>20</v>
          </cell>
          <cell r="Y16">
            <v>26</v>
          </cell>
          <cell r="Z16">
            <v>16.5</v>
          </cell>
          <cell r="AA16">
            <v>6.5</v>
          </cell>
          <cell r="AB16">
            <v>6.5</v>
          </cell>
          <cell r="AC16">
            <v>22</v>
          </cell>
          <cell r="AD16">
            <v>7</v>
          </cell>
        </row>
        <row r="17">
          <cell r="A17">
            <v>9648</v>
          </cell>
          <cell r="B17" t="str">
            <v>AZEITONA VERDE  COM CAROÇO VIDRO 200 GR</v>
          </cell>
          <cell r="C17">
            <v>0.59</v>
          </cell>
          <cell r="D17" t="str">
            <v>345 GR</v>
          </cell>
          <cell r="E17">
            <v>0.2</v>
          </cell>
          <cell r="F17">
            <v>2.4</v>
          </cell>
          <cell r="G17">
            <v>12</v>
          </cell>
          <cell r="H17">
            <v>7898647930063</v>
          </cell>
          <cell r="I17">
            <v>17898647930060</v>
          </cell>
        </row>
        <row r="17">
          <cell r="L17" t="str">
            <v>2005.70.00</v>
          </cell>
          <cell r="M17">
            <v>0.12</v>
          </cell>
          <cell r="N17">
            <v>0</v>
          </cell>
          <cell r="O17">
            <v>0</v>
          </cell>
          <cell r="P17">
            <v>0.6088</v>
          </cell>
          <cell r="Q17">
            <v>1</v>
          </cell>
          <cell r="R17" t="str">
            <v>1,65% / 7,6%</v>
          </cell>
          <cell r="S17">
            <v>0</v>
          </cell>
          <cell r="T17" t="str">
            <v>17.092.00</v>
          </cell>
          <cell r="U17">
            <v>24</v>
          </cell>
          <cell r="V17">
            <v>720</v>
          </cell>
          <cell r="W17">
            <v>16.5</v>
          </cell>
          <cell r="X17">
            <v>20</v>
          </cell>
          <cell r="Y17">
            <v>26</v>
          </cell>
          <cell r="Z17">
            <v>16.5</v>
          </cell>
          <cell r="AA17">
            <v>6.5</v>
          </cell>
          <cell r="AB17">
            <v>6.5</v>
          </cell>
          <cell r="AC17">
            <v>22</v>
          </cell>
          <cell r="AD17">
            <v>7</v>
          </cell>
        </row>
        <row r="18">
          <cell r="A18">
            <v>9649</v>
          </cell>
          <cell r="B18" t="str">
            <v>AZEITONA PRETA PORTUGUESINHA C/ CAROÇO 200 GR</v>
          </cell>
          <cell r="C18">
            <v>0.58</v>
          </cell>
          <cell r="D18" t="str">
            <v>345 GR</v>
          </cell>
          <cell r="E18">
            <v>0.2</v>
          </cell>
          <cell r="F18">
            <v>2.4</v>
          </cell>
          <cell r="G18">
            <v>12</v>
          </cell>
          <cell r="H18">
            <v>7898647930827</v>
          </cell>
          <cell r="I18">
            <v>17898647930824</v>
          </cell>
        </row>
        <row r="18">
          <cell r="L18" t="str">
            <v>2005.70.00</v>
          </cell>
          <cell r="M18">
            <v>0.12</v>
          </cell>
          <cell r="N18">
            <v>0</v>
          </cell>
          <cell r="O18">
            <v>0</v>
          </cell>
        </row>
        <row r="18">
          <cell r="Q18">
            <v>1</v>
          </cell>
          <cell r="R18" t="str">
            <v>1,65%/7,6%</v>
          </cell>
          <cell r="S18">
            <v>0</v>
          </cell>
          <cell r="T18" t="str">
            <v>17.092.00</v>
          </cell>
          <cell r="U18">
            <v>24</v>
          </cell>
          <cell r="V18">
            <v>720</v>
          </cell>
          <cell r="W18">
            <v>16.5</v>
          </cell>
          <cell r="X18">
            <v>20</v>
          </cell>
          <cell r="Y18">
            <v>26</v>
          </cell>
          <cell r="Z18">
            <v>16.5</v>
          </cell>
          <cell r="AA18">
            <v>6.5</v>
          </cell>
          <cell r="AB18">
            <v>6.5</v>
          </cell>
          <cell r="AC18">
            <v>22</v>
          </cell>
          <cell r="AD18">
            <v>7</v>
          </cell>
        </row>
        <row r="19">
          <cell r="A19">
            <v>9650</v>
          </cell>
          <cell r="B19" t="str">
            <v>PIMENTA BIQUINHO VIDRO 200 GR</v>
          </cell>
          <cell r="C19">
            <v>0.58</v>
          </cell>
          <cell r="D19" t="str">
            <v>300 GR</v>
          </cell>
          <cell r="E19">
            <v>0.2</v>
          </cell>
          <cell r="F19">
            <v>2.4</v>
          </cell>
          <cell r="G19">
            <v>12</v>
          </cell>
          <cell r="H19">
            <v>7898966673146</v>
          </cell>
          <cell r="I19">
            <v>17898966673143</v>
          </cell>
        </row>
        <row r="19">
          <cell r="L19" t="str">
            <v>2001.90.00</v>
          </cell>
          <cell r="M19">
            <v>0.12</v>
          </cell>
          <cell r="N19">
            <v>0</v>
          </cell>
          <cell r="O19">
            <v>0</v>
          </cell>
        </row>
        <row r="19">
          <cell r="Q19">
            <v>1</v>
          </cell>
          <cell r="R19" t="str">
            <v>1,65% / 7,6%</v>
          </cell>
          <cell r="S19">
            <v>0</v>
          </cell>
          <cell r="T19" t="str">
            <v>17.090.00</v>
          </cell>
          <cell r="U19">
            <v>24</v>
          </cell>
          <cell r="V19">
            <v>720</v>
          </cell>
          <cell r="W19">
            <v>16.5</v>
          </cell>
          <cell r="X19">
            <v>20</v>
          </cell>
          <cell r="Y19">
            <v>26</v>
          </cell>
          <cell r="Z19">
            <v>16.5</v>
          </cell>
          <cell r="AA19">
            <v>6.5</v>
          </cell>
          <cell r="AB19">
            <v>6.5</v>
          </cell>
          <cell r="AC19">
            <v>22</v>
          </cell>
          <cell r="AD19">
            <v>7</v>
          </cell>
        </row>
        <row r="20">
          <cell r="A20" t="e">
            <v>#VALUE!</v>
          </cell>
          <cell r="B20" t="str">
            <v>CEBOLINHA VIDRO 200 GRS</v>
          </cell>
          <cell r="C20">
            <v>0.59</v>
          </cell>
          <cell r="D20" t="str">
            <v>360 GR</v>
          </cell>
          <cell r="E20">
            <v>0.2</v>
          </cell>
          <cell r="F20">
            <v>2.4</v>
          </cell>
          <cell r="G20">
            <v>12</v>
          </cell>
          <cell r="H20">
            <v>7898966673184</v>
          </cell>
          <cell r="I20">
            <v>17898966673181</v>
          </cell>
        </row>
        <row r="20">
          <cell r="L20" t="str">
            <v>2001.90.00</v>
          </cell>
          <cell r="M20">
            <v>0.12</v>
          </cell>
          <cell r="N20">
            <v>0</v>
          </cell>
          <cell r="O20">
            <v>0</v>
          </cell>
        </row>
        <row r="20">
          <cell r="Q20">
            <v>1</v>
          </cell>
          <cell r="R20" t="str">
            <v>1,65% / 7,6%</v>
          </cell>
          <cell r="S20">
            <v>0</v>
          </cell>
          <cell r="T20" t="str">
            <v>17.090.00</v>
          </cell>
          <cell r="U20">
            <v>24</v>
          </cell>
          <cell r="V20">
            <v>720</v>
          </cell>
          <cell r="W20">
            <v>16.5</v>
          </cell>
          <cell r="X20">
            <v>20</v>
          </cell>
          <cell r="Y20">
            <v>26</v>
          </cell>
          <cell r="Z20">
            <v>16.5</v>
          </cell>
          <cell r="AA20">
            <v>6.5</v>
          </cell>
          <cell r="AB20">
            <v>6.5</v>
          </cell>
          <cell r="AC20">
            <v>22</v>
          </cell>
          <cell r="AD20">
            <v>7</v>
          </cell>
        </row>
        <row r="21">
          <cell r="A21">
            <v>9651</v>
          </cell>
          <cell r="B21" t="str">
            <v>CHAMPIGNON INTEIRO VIDRO 200 GRS</v>
          </cell>
          <cell r="C21">
            <v>0.575</v>
          </cell>
          <cell r="D21" t="str">
            <v>345 GR</v>
          </cell>
          <cell r="E21">
            <v>0.2</v>
          </cell>
          <cell r="F21">
            <v>2.4</v>
          </cell>
          <cell r="G21">
            <v>12</v>
          </cell>
          <cell r="H21">
            <v>7898966673153</v>
          </cell>
          <cell r="I21">
            <v>17898966673150</v>
          </cell>
        </row>
        <row r="21">
          <cell r="L21" t="str">
            <v>2003.10.00</v>
          </cell>
          <cell r="M21">
            <v>0.12</v>
          </cell>
          <cell r="N21">
            <v>0</v>
          </cell>
          <cell r="O21">
            <v>0</v>
          </cell>
        </row>
        <row r="21">
          <cell r="Q21">
            <v>1</v>
          </cell>
          <cell r="R21" t="str">
            <v>1,65% / 7,6%</v>
          </cell>
          <cell r="S21">
            <v>0</v>
          </cell>
          <cell r="T21">
            <v>0</v>
          </cell>
          <cell r="U21">
            <v>24</v>
          </cell>
          <cell r="V21">
            <v>720</v>
          </cell>
          <cell r="W21">
            <v>16.5</v>
          </cell>
          <cell r="X21">
            <v>20</v>
          </cell>
          <cell r="Y21">
            <v>26</v>
          </cell>
          <cell r="Z21">
            <v>16.5</v>
          </cell>
          <cell r="AA21">
            <v>6.5</v>
          </cell>
          <cell r="AB21">
            <v>6.5</v>
          </cell>
          <cell r="AC21">
            <v>22</v>
          </cell>
          <cell r="AD21">
            <v>7</v>
          </cell>
        </row>
        <row r="22">
          <cell r="A22">
            <v>9652</v>
          </cell>
          <cell r="B22" t="str">
            <v>CHAMPIGNON FATIADO VIDRO 200 GRS</v>
          </cell>
          <cell r="C22">
            <v>0.58</v>
          </cell>
          <cell r="D22" t="str">
            <v>345 GR</v>
          </cell>
          <cell r="E22">
            <v>0.2</v>
          </cell>
          <cell r="F22">
            <v>2.4</v>
          </cell>
          <cell r="G22">
            <v>12</v>
          </cell>
          <cell r="H22">
            <v>7898966673160</v>
          </cell>
          <cell r="I22">
            <v>17898966673167</v>
          </cell>
        </row>
        <row r="22">
          <cell r="L22" t="str">
            <v>2003.10.00</v>
          </cell>
          <cell r="M22">
            <v>0.12</v>
          </cell>
          <cell r="N22">
            <v>0</v>
          </cell>
          <cell r="O22">
            <v>0</v>
          </cell>
        </row>
        <row r="22">
          <cell r="Q22">
            <v>1</v>
          </cell>
          <cell r="R22" t="str">
            <v>1,65% / 7,6%</v>
          </cell>
          <cell r="S22">
            <v>0</v>
          </cell>
          <cell r="T22">
            <v>0</v>
          </cell>
          <cell r="U22">
            <v>24</v>
          </cell>
          <cell r="V22">
            <v>720</v>
          </cell>
          <cell r="W22">
            <v>16.5</v>
          </cell>
          <cell r="X22">
            <v>20</v>
          </cell>
          <cell r="Y22">
            <v>26</v>
          </cell>
          <cell r="Z22">
            <v>16.5</v>
          </cell>
          <cell r="AA22">
            <v>6.5</v>
          </cell>
          <cell r="AB22">
            <v>6.5</v>
          </cell>
          <cell r="AC22">
            <v>22</v>
          </cell>
          <cell r="AD22">
            <v>7</v>
          </cell>
        </row>
        <row r="23">
          <cell r="A23">
            <v>9357</v>
          </cell>
          <cell r="B23" t="str">
            <v>AZEITONA VERDE COM CAROÇO VIDRO 500 GR</v>
          </cell>
          <cell r="C23">
            <v>1.237</v>
          </cell>
          <cell r="D23" t="str">
            <v>850 GR</v>
          </cell>
          <cell r="E23">
            <v>0.5</v>
          </cell>
          <cell r="F23">
            <v>6</v>
          </cell>
          <cell r="G23">
            <v>12</v>
          </cell>
          <cell r="H23">
            <v>7898647930070</v>
          </cell>
          <cell r="I23">
            <v>17898647930077</v>
          </cell>
        </row>
        <row r="23">
          <cell r="L23" t="str">
            <v>2005.70.00</v>
          </cell>
          <cell r="M23">
            <v>0.12</v>
          </cell>
          <cell r="N23">
            <v>0</v>
          </cell>
          <cell r="O23">
            <v>0</v>
          </cell>
        </row>
        <row r="23">
          <cell r="Q23">
            <v>1</v>
          </cell>
          <cell r="R23" t="str">
            <v>1,65% / 7,6%</v>
          </cell>
          <cell r="S23">
            <v>0</v>
          </cell>
          <cell r="T23" t="str">
            <v>17.092.00</v>
          </cell>
          <cell r="U23">
            <v>24</v>
          </cell>
          <cell r="V23">
            <v>720</v>
          </cell>
          <cell r="W23">
            <v>18.2</v>
          </cell>
          <cell r="X23">
            <v>28</v>
          </cell>
          <cell r="Y23">
            <v>36.5</v>
          </cell>
          <cell r="Z23">
            <v>16.5</v>
          </cell>
          <cell r="AA23">
            <v>9.5</v>
          </cell>
          <cell r="AB23">
            <v>9.5</v>
          </cell>
          <cell r="AC23">
            <v>10</v>
          </cell>
          <cell r="AD23">
            <v>7</v>
          </cell>
        </row>
        <row r="24">
          <cell r="A24">
            <v>9358</v>
          </cell>
          <cell r="B24" t="str">
            <v>AZEITONA VERDE COM CAROÇO GOURMET 450 GR</v>
          </cell>
          <cell r="C24">
            <v>1.228</v>
          </cell>
          <cell r="D24" t="str">
            <v>820 GR</v>
          </cell>
          <cell r="E24">
            <v>0.45</v>
          </cell>
          <cell r="F24">
            <v>5.4</v>
          </cell>
          <cell r="G24">
            <v>12</v>
          </cell>
          <cell r="H24">
            <v>7898966673009</v>
          </cell>
          <cell r="I24">
            <v>17898966673013</v>
          </cell>
        </row>
        <row r="24">
          <cell r="L24" t="str">
            <v>2005.70.00</v>
          </cell>
          <cell r="M24">
            <v>0.12</v>
          </cell>
          <cell r="N24">
            <v>0</v>
          </cell>
          <cell r="O24">
            <v>0</v>
          </cell>
        </row>
        <row r="24">
          <cell r="Q24">
            <v>1</v>
          </cell>
          <cell r="R24" t="str">
            <v>1,65% / 7,6%</v>
          </cell>
          <cell r="S24">
            <v>0</v>
          </cell>
          <cell r="T24" t="str">
            <v>17.092.00</v>
          </cell>
          <cell r="U24">
            <v>24</v>
          </cell>
          <cell r="V24">
            <v>720</v>
          </cell>
          <cell r="W24">
            <v>18.2</v>
          </cell>
          <cell r="X24">
            <v>28</v>
          </cell>
          <cell r="Y24">
            <v>36.5</v>
          </cell>
          <cell r="Z24">
            <v>16.5</v>
          </cell>
          <cell r="AA24">
            <v>9.5</v>
          </cell>
          <cell r="AB24">
            <v>9.5</v>
          </cell>
          <cell r="AC24">
            <v>10</v>
          </cell>
          <cell r="AD24">
            <v>7</v>
          </cell>
        </row>
        <row r="25">
          <cell r="A25">
            <v>9653</v>
          </cell>
          <cell r="B25" t="str">
            <v>AZEITONA VERDE COM CAROÇO GOURMET 200 GR</v>
          </cell>
          <cell r="C25">
            <v>0.58</v>
          </cell>
          <cell r="D25" t="str">
            <v>345 GR</v>
          </cell>
          <cell r="E25">
            <v>0.2</v>
          </cell>
          <cell r="F25">
            <v>2.4</v>
          </cell>
          <cell r="G25">
            <v>12</v>
          </cell>
          <cell r="H25">
            <v>7898647930865</v>
          </cell>
          <cell r="I25">
            <v>17898647930862</v>
          </cell>
        </row>
        <row r="25">
          <cell r="L25" t="str">
            <v>2005.70.00</v>
          </cell>
          <cell r="M25">
            <v>0.12</v>
          </cell>
          <cell r="N25">
            <v>0</v>
          </cell>
          <cell r="O25">
            <v>0</v>
          </cell>
        </row>
        <row r="25">
          <cell r="Q25">
            <v>1</v>
          </cell>
          <cell r="R25" t="str">
            <v>1,65% / 7,6%</v>
          </cell>
          <cell r="S25">
            <v>0</v>
          </cell>
          <cell r="T25" t="str">
            <v>17.092.00</v>
          </cell>
          <cell r="U25">
            <v>24</v>
          </cell>
          <cell r="V25">
            <v>720</v>
          </cell>
          <cell r="W25">
            <v>16.5</v>
          </cell>
          <cell r="X25">
            <v>20</v>
          </cell>
          <cell r="Y25">
            <v>26</v>
          </cell>
          <cell r="Z25">
            <v>16.5</v>
          </cell>
          <cell r="AA25">
            <v>6.5</v>
          </cell>
          <cell r="AB25">
            <v>6.5</v>
          </cell>
          <cell r="AC25">
            <v>22</v>
          </cell>
          <cell r="AD25">
            <v>7</v>
          </cell>
        </row>
        <row r="26">
          <cell r="A26">
            <v>9359</v>
          </cell>
          <cell r="B26" t="str">
            <v>AZEITONA VERDE SEM CAROÇO GOURMET 400 GR</v>
          </cell>
          <cell r="C26">
            <v>1.199</v>
          </cell>
          <cell r="D26" t="str">
            <v>820 GR</v>
          </cell>
          <cell r="E26">
            <v>0.4</v>
          </cell>
          <cell r="F26">
            <v>4.8</v>
          </cell>
          <cell r="G26">
            <v>12</v>
          </cell>
          <cell r="H26">
            <v>7898966673023</v>
          </cell>
          <cell r="I26">
            <v>17898966673020</v>
          </cell>
        </row>
        <row r="26">
          <cell r="L26" t="str">
            <v>2005.70.00</v>
          </cell>
          <cell r="M26">
            <v>0.12</v>
          </cell>
          <cell r="N26">
            <v>0</v>
          </cell>
          <cell r="O26">
            <v>0</v>
          </cell>
        </row>
        <row r="26">
          <cell r="Q26">
            <v>1</v>
          </cell>
          <cell r="R26" t="str">
            <v>1,65% / 7,6%</v>
          </cell>
          <cell r="S26">
            <v>0</v>
          </cell>
          <cell r="T26" t="str">
            <v>17.092.00</v>
          </cell>
          <cell r="U26">
            <v>24</v>
          </cell>
          <cell r="V26">
            <v>720</v>
          </cell>
          <cell r="W26">
            <v>18.2</v>
          </cell>
          <cell r="X26">
            <v>28</v>
          </cell>
          <cell r="Y26">
            <v>36.5</v>
          </cell>
          <cell r="Z26">
            <v>16.5</v>
          </cell>
          <cell r="AA26">
            <v>9.5</v>
          </cell>
          <cell r="AB26">
            <v>9.5</v>
          </cell>
          <cell r="AC26">
            <v>10</v>
          </cell>
          <cell r="AD26">
            <v>7</v>
          </cell>
        </row>
        <row r="27">
          <cell r="A27">
            <v>9654</v>
          </cell>
          <cell r="B27" t="str">
            <v>AZEITONA VERDE SEM CAROÇO GOURMET 160 GR</v>
          </cell>
          <cell r="C27">
            <v>0.56</v>
          </cell>
          <cell r="D27" t="str">
            <v>345 GR</v>
          </cell>
          <cell r="E27">
            <v>0.16</v>
          </cell>
          <cell r="F27">
            <v>1.92</v>
          </cell>
          <cell r="G27">
            <v>12</v>
          </cell>
          <cell r="H27">
            <v>7898647930872</v>
          </cell>
          <cell r="I27">
            <v>17898647930879</v>
          </cell>
        </row>
        <row r="27">
          <cell r="L27" t="str">
            <v>2005.70.00</v>
          </cell>
          <cell r="M27">
            <v>0.12</v>
          </cell>
          <cell r="N27">
            <v>0</v>
          </cell>
          <cell r="O27">
            <v>0</v>
          </cell>
        </row>
        <row r="27">
          <cell r="Q27">
            <v>1</v>
          </cell>
          <cell r="R27" t="str">
            <v>1,65% / 7,6%</v>
          </cell>
          <cell r="S27">
            <v>0</v>
          </cell>
          <cell r="T27" t="str">
            <v>17.092.00</v>
          </cell>
          <cell r="U27">
            <v>24</v>
          </cell>
          <cell r="V27">
            <v>720</v>
          </cell>
          <cell r="W27">
            <v>16.5</v>
          </cell>
          <cell r="X27">
            <v>20</v>
          </cell>
          <cell r="Y27">
            <v>26</v>
          </cell>
          <cell r="Z27">
            <v>16.5</v>
          </cell>
          <cell r="AA27">
            <v>6.5</v>
          </cell>
          <cell r="AB27">
            <v>6.5</v>
          </cell>
          <cell r="AC27">
            <v>22</v>
          </cell>
          <cell r="AD27">
            <v>7</v>
          </cell>
        </row>
        <row r="28">
          <cell r="A28">
            <v>9656</v>
          </cell>
          <cell r="B28" t="str">
            <v>AZEITONA PRETA COM CAROÇO GOURMET 400 GR</v>
          </cell>
          <cell r="C28">
            <v>1.199</v>
          </cell>
          <cell r="D28" t="str">
            <v>820 GR</v>
          </cell>
          <cell r="E28">
            <v>0.4</v>
          </cell>
          <cell r="F28">
            <v>4.8</v>
          </cell>
          <cell r="G28">
            <v>12</v>
          </cell>
          <cell r="H28">
            <v>7898647930001</v>
          </cell>
          <cell r="I28">
            <v>17898647930008</v>
          </cell>
        </row>
        <row r="28">
          <cell r="L28" t="str">
            <v>2005.70.00</v>
          </cell>
          <cell r="M28">
            <v>0.12</v>
          </cell>
          <cell r="N28">
            <v>0</v>
          </cell>
          <cell r="O28">
            <v>0</v>
          </cell>
        </row>
        <row r="28">
          <cell r="Q28">
            <v>1</v>
          </cell>
          <cell r="R28" t="str">
            <v>1,65%/ 7,6%</v>
          </cell>
          <cell r="S28">
            <v>0</v>
          </cell>
          <cell r="T28" t="str">
            <v>17.092.00</v>
          </cell>
          <cell r="U28">
            <v>24</v>
          </cell>
          <cell r="V28">
            <v>720</v>
          </cell>
          <cell r="W28">
            <v>18.2</v>
          </cell>
          <cell r="X28">
            <v>28</v>
          </cell>
          <cell r="Y28">
            <v>36.5</v>
          </cell>
          <cell r="Z28">
            <v>16.5</v>
          </cell>
          <cell r="AA28">
            <v>9.5</v>
          </cell>
          <cell r="AB28">
            <v>9.5</v>
          </cell>
          <cell r="AC28">
            <v>10</v>
          </cell>
          <cell r="AD28">
            <v>7</v>
          </cell>
        </row>
        <row r="29">
          <cell r="A29">
            <v>9655</v>
          </cell>
          <cell r="B29" t="str">
            <v>AZEITONA PRETA C/ CAROÇO GOURMET 200 GR</v>
          </cell>
          <cell r="C29">
            <v>0.58</v>
          </cell>
          <cell r="D29" t="str">
            <v>345 GR</v>
          </cell>
          <cell r="E29">
            <v>0.2</v>
          </cell>
          <cell r="F29">
            <v>2.4</v>
          </cell>
          <cell r="G29">
            <v>12</v>
          </cell>
          <cell r="H29">
            <v>7898647930711</v>
          </cell>
          <cell r="I29">
            <v>17898647930718</v>
          </cell>
        </row>
        <row r="29">
          <cell r="L29" t="str">
            <v>2005.70.00</v>
          </cell>
          <cell r="M29">
            <v>0.12</v>
          </cell>
          <cell r="N29">
            <v>0</v>
          </cell>
          <cell r="O29">
            <v>0</v>
          </cell>
          <cell r="P29">
            <v>0.6088</v>
          </cell>
          <cell r="Q29">
            <v>1</v>
          </cell>
          <cell r="R29" t="str">
            <v>1,65% / 7,6%</v>
          </cell>
          <cell r="S29">
            <v>0</v>
          </cell>
          <cell r="T29" t="str">
            <v>17.092.00</v>
          </cell>
          <cell r="U29">
            <v>24</v>
          </cell>
          <cell r="V29">
            <v>720</v>
          </cell>
          <cell r="W29">
            <v>16.5</v>
          </cell>
          <cell r="X29">
            <v>20</v>
          </cell>
          <cell r="Y29">
            <v>26</v>
          </cell>
          <cell r="Z29">
            <v>16.5</v>
          </cell>
          <cell r="AA29">
            <v>6.5</v>
          </cell>
          <cell r="AB29">
            <v>6.5</v>
          </cell>
          <cell r="AC29">
            <v>22</v>
          </cell>
          <cell r="AD29">
            <v>7</v>
          </cell>
        </row>
        <row r="30">
          <cell r="A30">
            <v>9657</v>
          </cell>
          <cell r="B30" t="str">
            <v>AZEITONA PRETA SEM CAROÇO GOURMET 400 GR</v>
          </cell>
          <cell r="C30">
            <v>1.199</v>
          </cell>
          <cell r="D30" t="str">
            <v>820 GR</v>
          </cell>
          <cell r="E30">
            <v>0.4</v>
          </cell>
          <cell r="F30">
            <v>4.8</v>
          </cell>
          <cell r="G30">
            <v>12</v>
          </cell>
          <cell r="H30">
            <v>7898647930896</v>
          </cell>
          <cell r="I30">
            <v>17898647930893</v>
          </cell>
        </row>
        <row r="30">
          <cell r="L30" t="str">
            <v>2005.70.00</v>
          </cell>
          <cell r="M30">
            <v>0.12</v>
          </cell>
          <cell r="N30">
            <v>0</v>
          </cell>
          <cell r="O30">
            <v>0</v>
          </cell>
        </row>
        <row r="30">
          <cell r="Q30">
            <v>1</v>
          </cell>
          <cell r="R30" t="str">
            <v>1,65%/ 7,6%</v>
          </cell>
          <cell r="S30">
            <v>0</v>
          </cell>
          <cell r="T30" t="str">
            <v>17.092.00</v>
          </cell>
          <cell r="U30">
            <v>24</v>
          </cell>
          <cell r="V30">
            <v>720</v>
          </cell>
          <cell r="W30">
            <v>18.2</v>
          </cell>
          <cell r="X30">
            <v>28</v>
          </cell>
          <cell r="Y30">
            <v>36.5</v>
          </cell>
          <cell r="Z30">
            <v>16.5</v>
          </cell>
          <cell r="AA30">
            <v>9.5</v>
          </cell>
          <cell r="AB30">
            <v>9.5</v>
          </cell>
          <cell r="AC30">
            <v>10</v>
          </cell>
          <cell r="AD30">
            <v>7</v>
          </cell>
        </row>
        <row r="31">
          <cell r="B31" t="str">
            <v>AZEITONA PRETA SEM CAROÇO GOURMET 160 GR</v>
          </cell>
          <cell r="C31">
            <v>0.56</v>
          </cell>
          <cell r="D31" t="str">
            <v>345 GR</v>
          </cell>
          <cell r="E31">
            <v>0.16</v>
          </cell>
          <cell r="F31">
            <v>1.92</v>
          </cell>
          <cell r="G31">
            <v>12</v>
          </cell>
          <cell r="H31">
            <v>7898647930889</v>
          </cell>
          <cell r="I31">
            <v>17898647930886</v>
          </cell>
        </row>
        <row r="31">
          <cell r="L31" t="str">
            <v>2005.70.00</v>
          </cell>
          <cell r="M31">
            <v>0.12</v>
          </cell>
          <cell r="N31">
            <v>0</v>
          </cell>
          <cell r="O31">
            <v>0</v>
          </cell>
          <cell r="P31">
            <v>0.6088</v>
          </cell>
          <cell r="Q31">
            <v>1</v>
          </cell>
          <cell r="R31" t="str">
            <v>1,65% / 7,6%</v>
          </cell>
          <cell r="S31">
            <v>0</v>
          </cell>
          <cell r="T31" t="str">
            <v>17.092.00</v>
          </cell>
          <cell r="U31">
            <v>24</v>
          </cell>
          <cell r="V31">
            <v>720</v>
          </cell>
          <cell r="W31">
            <v>16.5</v>
          </cell>
          <cell r="X31">
            <v>20</v>
          </cell>
          <cell r="Y31">
            <v>26</v>
          </cell>
          <cell r="Z31">
            <v>16.5</v>
          </cell>
          <cell r="AA31">
            <v>6.5</v>
          </cell>
          <cell r="AB31">
            <v>6.5</v>
          </cell>
          <cell r="AC31">
            <v>22</v>
          </cell>
          <cell r="AD31">
            <v>7</v>
          </cell>
        </row>
        <row r="33">
          <cell r="A33">
            <v>9663</v>
          </cell>
          <cell r="B33" t="str">
            <v>AZEITONA VERDE COM CAROÇO SACHET 80 GR</v>
          </cell>
          <cell r="C33">
            <v>0.18</v>
          </cell>
          <cell r="D33" t="str">
            <v>170 GR</v>
          </cell>
          <cell r="E33" t="str">
            <v>80 GR</v>
          </cell>
          <cell r="F33">
            <v>2.4</v>
          </cell>
          <cell r="G33">
            <v>30</v>
          </cell>
          <cell r="H33">
            <v>7898647930087</v>
          </cell>
          <cell r="I33">
            <v>17898647930084</v>
          </cell>
        </row>
        <row r="33">
          <cell r="L33" t="str">
            <v>2005.70.00</v>
          </cell>
          <cell r="M33">
            <v>0.12</v>
          </cell>
          <cell r="N33">
            <v>0</v>
          </cell>
          <cell r="O33">
            <v>0</v>
          </cell>
        </row>
        <row r="33">
          <cell r="Q33">
            <v>1</v>
          </cell>
          <cell r="R33" t="str">
            <v>1,65% / 7,6%</v>
          </cell>
          <cell r="S33">
            <v>0</v>
          </cell>
          <cell r="T33" t="str">
            <v>17.092.00</v>
          </cell>
          <cell r="U33">
            <v>18</v>
          </cell>
          <cell r="V33">
            <v>540</v>
          </cell>
          <cell r="W33">
            <v>16.5</v>
          </cell>
          <cell r="X33">
            <v>16.5</v>
          </cell>
          <cell r="Y33">
            <v>42</v>
          </cell>
          <cell r="Z33">
            <v>15</v>
          </cell>
          <cell r="AA33">
            <v>12</v>
          </cell>
          <cell r="AB33">
            <v>6</v>
          </cell>
          <cell r="AC33">
            <v>16</v>
          </cell>
          <cell r="AD33">
            <v>7</v>
          </cell>
        </row>
        <row r="34">
          <cell r="A34">
            <v>9664</v>
          </cell>
          <cell r="B34" t="str">
            <v>AZEITONA VERDE SEM CAROÇO SACHET 80 GR</v>
          </cell>
          <cell r="C34">
            <v>0.18</v>
          </cell>
          <cell r="D34" t="str">
            <v>170 GR</v>
          </cell>
          <cell r="E34" t="str">
            <v>80 GR</v>
          </cell>
          <cell r="F34">
            <v>2.4</v>
          </cell>
          <cell r="G34">
            <v>30</v>
          </cell>
          <cell r="H34">
            <v>7898647930834</v>
          </cell>
          <cell r="I34">
            <v>17898647930831</v>
          </cell>
        </row>
        <row r="34">
          <cell r="L34" t="str">
            <v>2005.70.00</v>
          </cell>
          <cell r="M34">
            <v>0.12</v>
          </cell>
          <cell r="N34">
            <v>0</v>
          </cell>
          <cell r="O34">
            <v>0</v>
          </cell>
        </row>
        <row r="34">
          <cell r="Q34">
            <v>1</v>
          </cell>
          <cell r="R34" t="str">
            <v>1,65% / 7,6%</v>
          </cell>
          <cell r="S34">
            <v>0</v>
          </cell>
          <cell r="T34" t="str">
            <v>17.092.00</v>
          </cell>
          <cell r="U34">
            <v>18</v>
          </cell>
          <cell r="V34">
            <v>540</v>
          </cell>
          <cell r="W34">
            <v>16.5</v>
          </cell>
          <cell r="X34">
            <v>16.5</v>
          </cell>
          <cell r="Y34">
            <v>42</v>
          </cell>
          <cell r="Z34">
            <v>15</v>
          </cell>
          <cell r="AA34">
            <v>12</v>
          </cell>
          <cell r="AB34">
            <v>6</v>
          </cell>
          <cell r="AC34">
            <v>16</v>
          </cell>
          <cell r="AD34">
            <v>7</v>
          </cell>
        </row>
        <row r="35">
          <cell r="A35">
            <v>9665</v>
          </cell>
          <cell r="B35" t="str">
            <v>AZEITONA VERDE FATIADA SACHET 80 GR</v>
          </cell>
          <cell r="C35">
            <v>0.18</v>
          </cell>
          <cell r="D35" t="str">
            <v>170 GR</v>
          </cell>
          <cell r="E35" t="str">
            <v>80 GR</v>
          </cell>
          <cell r="F35">
            <v>2.4</v>
          </cell>
          <cell r="G35">
            <v>30</v>
          </cell>
          <cell r="H35">
            <v>7898647930841</v>
          </cell>
          <cell r="I35">
            <v>17898647930848</v>
          </cell>
        </row>
        <row r="35">
          <cell r="L35" t="str">
            <v>2005.70.00</v>
          </cell>
          <cell r="M35">
            <v>0.12</v>
          </cell>
          <cell r="N35">
            <v>0</v>
          </cell>
          <cell r="O35">
            <v>0</v>
          </cell>
        </row>
        <row r="35">
          <cell r="Q35">
            <v>1</v>
          </cell>
          <cell r="R35" t="str">
            <v>1,65% / 7,6%</v>
          </cell>
          <cell r="S35">
            <v>0</v>
          </cell>
          <cell r="T35" t="str">
            <v>17.092.00</v>
          </cell>
          <cell r="U35">
            <v>18</v>
          </cell>
          <cell r="V35">
            <v>540</v>
          </cell>
          <cell r="W35">
            <v>16.5</v>
          </cell>
          <cell r="X35">
            <v>16.5</v>
          </cell>
          <cell r="Y35">
            <v>42</v>
          </cell>
          <cell r="Z35">
            <v>15</v>
          </cell>
          <cell r="AA35">
            <v>12</v>
          </cell>
          <cell r="AB35">
            <v>6</v>
          </cell>
          <cell r="AC35">
            <v>16</v>
          </cell>
          <cell r="AD35">
            <v>7</v>
          </cell>
        </row>
        <row r="36">
          <cell r="A36">
            <v>9666</v>
          </cell>
          <cell r="B36" t="str">
            <v>AZZEITONA RECHEADA SACHET 80 GR</v>
          </cell>
          <cell r="C36">
            <v>0.18</v>
          </cell>
          <cell r="D36" t="str">
            <v>170 GR</v>
          </cell>
          <cell r="E36" t="str">
            <v>80 GR</v>
          </cell>
          <cell r="F36">
            <v>2.4</v>
          </cell>
          <cell r="G36">
            <v>30</v>
          </cell>
          <cell r="H36">
            <v>7898647930858</v>
          </cell>
          <cell r="I36">
            <v>17898647930855</v>
          </cell>
        </row>
        <row r="36">
          <cell r="L36" t="str">
            <v>2005.70.00</v>
          </cell>
          <cell r="M36">
            <v>0.12</v>
          </cell>
          <cell r="N36">
            <v>0</v>
          </cell>
          <cell r="O36">
            <v>0</v>
          </cell>
        </row>
        <row r="36">
          <cell r="Q36">
            <v>1</v>
          </cell>
          <cell r="R36" t="str">
            <v>1,65% / 7,6%</v>
          </cell>
          <cell r="S36">
            <v>0</v>
          </cell>
          <cell r="T36" t="str">
            <v>17.092.00</v>
          </cell>
          <cell r="U36">
            <v>18</v>
          </cell>
          <cell r="V36">
            <v>540</v>
          </cell>
          <cell r="W36">
            <v>16.5</v>
          </cell>
          <cell r="X36">
            <v>16.5</v>
          </cell>
          <cell r="Y36">
            <v>42</v>
          </cell>
          <cell r="Z36">
            <v>15</v>
          </cell>
          <cell r="AA36">
            <v>12</v>
          </cell>
          <cell r="AB36">
            <v>6</v>
          </cell>
          <cell r="AC36">
            <v>16</v>
          </cell>
          <cell r="AD36">
            <v>7</v>
          </cell>
        </row>
        <row r="37">
          <cell r="A37">
            <v>9360</v>
          </cell>
          <cell r="B37" t="str">
            <v>AZEITONA VERDE SEM CAROÇO SACHET 120 GR</v>
          </cell>
          <cell r="C37">
            <v>0.295</v>
          </cell>
          <cell r="D37" t="str">
            <v>270 GR</v>
          </cell>
          <cell r="E37">
            <v>0.12</v>
          </cell>
          <cell r="F37">
            <v>2.16</v>
          </cell>
          <cell r="G37">
            <v>18</v>
          </cell>
          <cell r="H37">
            <v>7898647930094</v>
          </cell>
          <cell r="I37">
            <v>17898647930091</v>
          </cell>
        </row>
        <row r="37">
          <cell r="L37" t="str">
            <v>2005.70.00</v>
          </cell>
          <cell r="M37">
            <v>0.12</v>
          </cell>
          <cell r="N37">
            <v>0</v>
          </cell>
          <cell r="O37">
            <v>0</v>
          </cell>
        </row>
        <row r="37">
          <cell r="Q37">
            <v>1</v>
          </cell>
          <cell r="R37" t="str">
            <v>1,65% / 7,6%</v>
          </cell>
          <cell r="S37">
            <v>0</v>
          </cell>
          <cell r="T37" t="str">
            <v>17.092.00</v>
          </cell>
          <cell r="U37">
            <v>18</v>
          </cell>
          <cell r="V37">
            <v>540</v>
          </cell>
          <cell r="W37">
            <v>16.5</v>
          </cell>
          <cell r="X37">
            <v>16.5</v>
          </cell>
          <cell r="Y37">
            <v>42</v>
          </cell>
          <cell r="Z37">
            <v>19.5</v>
          </cell>
          <cell r="AA37">
            <v>12</v>
          </cell>
          <cell r="AB37">
            <v>6.5</v>
          </cell>
          <cell r="AC37">
            <v>16</v>
          </cell>
          <cell r="AD37">
            <v>7</v>
          </cell>
        </row>
        <row r="38">
          <cell r="A38">
            <v>9361</v>
          </cell>
          <cell r="B38" t="str">
            <v>AZEITONA VERDE FATIADA SACHET 120 GR</v>
          </cell>
          <cell r="C38">
            <v>0.305</v>
          </cell>
          <cell r="D38" t="str">
            <v>270 GR</v>
          </cell>
          <cell r="E38">
            <v>0.12</v>
          </cell>
          <cell r="F38">
            <v>2.16</v>
          </cell>
          <cell r="G38">
            <v>18</v>
          </cell>
          <cell r="H38">
            <v>7898647930100</v>
          </cell>
          <cell r="I38">
            <v>17898647930107</v>
          </cell>
        </row>
        <row r="38">
          <cell r="L38" t="str">
            <v>2005.70.00</v>
          </cell>
          <cell r="M38">
            <v>0.12</v>
          </cell>
          <cell r="N38">
            <v>0</v>
          </cell>
          <cell r="O38">
            <v>0</v>
          </cell>
        </row>
        <row r="38">
          <cell r="Q38">
            <v>1</v>
          </cell>
          <cell r="R38" t="str">
            <v>1,65% / 7,6%</v>
          </cell>
          <cell r="S38">
            <v>0</v>
          </cell>
          <cell r="T38" t="str">
            <v>17.092.00</v>
          </cell>
          <cell r="U38">
            <v>18</v>
          </cell>
          <cell r="V38">
            <v>540</v>
          </cell>
          <cell r="W38">
            <v>16.5</v>
          </cell>
          <cell r="X38">
            <v>16.5</v>
          </cell>
          <cell r="Y38">
            <v>42</v>
          </cell>
          <cell r="Z38">
            <v>19.5</v>
          </cell>
          <cell r="AA38">
            <v>12</v>
          </cell>
          <cell r="AB38">
            <v>6.5</v>
          </cell>
          <cell r="AC38">
            <v>16</v>
          </cell>
          <cell r="AD38">
            <v>7</v>
          </cell>
        </row>
        <row r="39">
          <cell r="A39">
            <v>9667</v>
          </cell>
          <cell r="B39" t="str">
            <v>AZEITONA VERDE RECHEADA SACHET 120 GR</v>
          </cell>
          <cell r="C39">
            <v>0.295</v>
          </cell>
          <cell r="D39" t="str">
            <v>270 GR</v>
          </cell>
          <cell r="E39">
            <v>0.12</v>
          </cell>
          <cell r="F39">
            <v>2.16</v>
          </cell>
          <cell r="G39">
            <v>18</v>
          </cell>
          <cell r="H39">
            <v>7898647930117</v>
          </cell>
          <cell r="I39">
            <v>17898647930114</v>
          </cell>
        </row>
        <row r="39">
          <cell r="L39" t="str">
            <v>2005.70.00</v>
          </cell>
          <cell r="M39">
            <v>0.12</v>
          </cell>
          <cell r="N39">
            <v>0</v>
          </cell>
          <cell r="O39">
            <v>0</v>
          </cell>
        </row>
        <row r="39">
          <cell r="Q39">
            <v>1</v>
          </cell>
          <cell r="R39" t="str">
            <v>1,65% / 7,6%</v>
          </cell>
          <cell r="S39">
            <v>0</v>
          </cell>
          <cell r="T39" t="str">
            <v>17.092.00</v>
          </cell>
          <cell r="U39">
            <v>18</v>
          </cell>
          <cell r="V39">
            <v>540</v>
          </cell>
          <cell r="W39">
            <v>16.5</v>
          </cell>
          <cell r="X39">
            <v>16.5</v>
          </cell>
          <cell r="Y39">
            <v>42</v>
          </cell>
          <cell r="Z39">
            <v>19.5</v>
          </cell>
          <cell r="AA39">
            <v>12</v>
          </cell>
          <cell r="AB39">
            <v>6.5</v>
          </cell>
          <cell r="AC39">
            <v>16</v>
          </cell>
          <cell r="AD39">
            <v>7</v>
          </cell>
        </row>
        <row r="40">
          <cell r="A40">
            <v>9630</v>
          </cell>
          <cell r="B40" t="str">
            <v>AZEITONA VERDE COM CAROÇO SACHET 150 GR</v>
          </cell>
          <cell r="C40">
            <v>0.325</v>
          </cell>
          <cell r="D40" t="str">
            <v>270 GR</v>
          </cell>
          <cell r="E40">
            <v>0.15</v>
          </cell>
          <cell r="F40">
            <v>2.7</v>
          </cell>
          <cell r="G40">
            <v>18</v>
          </cell>
          <cell r="H40">
            <v>7898647930124</v>
          </cell>
          <cell r="I40">
            <v>17898647930121</v>
          </cell>
        </row>
        <row r="40">
          <cell r="L40" t="str">
            <v>2005.70.00</v>
          </cell>
          <cell r="M40">
            <v>0.12</v>
          </cell>
          <cell r="N40">
            <v>0</v>
          </cell>
          <cell r="O40">
            <v>0</v>
          </cell>
        </row>
        <row r="40">
          <cell r="Q40">
            <v>1</v>
          </cell>
          <cell r="R40" t="str">
            <v>1,65% / 7,6%</v>
          </cell>
          <cell r="S40">
            <v>0</v>
          </cell>
          <cell r="T40" t="str">
            <v>17.092.00</v>
          </cell>
          <cell r="U40">
            <v>18</v>
          </cell>
          <cell r="V40">
            <v>540</v>
          </cell>
          <cell r="W40">
            <v>16.5</v>
          </cell>
          <cell r="X40">
            <v>16.5</v>
          </cell>
          <cell r="Y40">
            <v>42</v>
          </cell>
          <cell r="Z40">
            <v>19.5</v>
          </cell>
          <cell r="AA40">
            <v>12</v>
          </cell>
          <cell r="AB40">
            <v>6.5</v>
          </cell>
          <cell r="AC40">
            <v>16</v>
          </cell>
          <cell r="AD40">
            <v>7</v>
          </cell>
        </row>
        <row r="41">
          <cell r="A41">
            <v>9668</v>
          </cell>
          <cell r="B41" t="str">
            <v>CEBOLINHA SACHET 120 GR</v>
          </cell>
          <cell r="C41">
            <v>0.305</v>
          </cell>
          <cell r="D41" t="str">
            <v>270 GR</v>
          </cell>
          <cell r="E41">
            <v>0.12</v>
          </cell>
          <cell r="F41">
            <v>2.16</v>
          </cell>
          <cell r="G41">
            <v>18</v>
          </cell>
          <cell r="H41">
            <v>7898647930810</v>
          </cell>
          <cell r="I41">
            <v>17898647930817</v>
          </cell>
        </row>
        <row r="41">
          <cell r="L41" t="str">
            <v>2001.90.00</v>
          </cell>
          <cell r="M41">
            <v>0.12</v>
          </cell>
          <cell r="N41">
            <v>0</v>
          </cell>
          <cell r="O41">
            <v>0</v>
          </cell>
        </row>
        <row r="41">
          <cell r="Q41">
            <v>1</v>
          </cell>
          <cell r="R41" t="str">
            <v>1,65% / 7,6%</v>
          </cell>
          <cell r="S41">
            <v>0</v>
          </cell>
          <cell r="T41" t="str">
            <v>17.090.00</v>
          </cell>
          <cell r="U41">
            <v>18</v>
          </cell>
          <cell r="V41">
            <v>540</v>
          </cell>
          <cell r="W41">
            <v>16.5</v>
          </cell>
          <cell r="X41">
            <v>16.5</v>
          </cell>
          <cell r="Y41">
            <v>42</v>
          </cell>
          <cell r="Z41">
            <v>19.5</v>
          </cell>
          <cell r="AA41">
            <v>12</v>
          </cell>
          <cell r="AB41">
            <v>6.5</v>
          </cell>
          <cell r="AC41">
            <v>16</v>
          </cell>
          <cell r="AD41">
            <v>7</v>
          </cell>
        </row>
        <row r="42">
          <cell r="A42">
            <v>9669</v>
          </cell>
          <cell r="B42" t="str">
            <v>AZEITONA VERDE COM CAROÇO SACHET 400 GR</v>
          </cell>
          <cell r="C42">
            <v>0.305</v>
          </cell>
          <cell r="D42" t="str">
            <v>270 GR</v>
          </cell>
          <cell r="E42">
            <v>0.4</v>
          </cell>
          <cell r="F42">
            <v>4.8</v>
          </cell>
          <cell r="G42">
            <v>12</v>
          </cell>
          <cell r="H42">
            <v>7898966673139</v>
          </cell>
          <cell r="I42">
            <v>17898966673136</v>
          </cell>
        </row>
        <row r="42">
          <cell r="L42" t="str">
            <v>2005.70.00</v>
          </cell>
          <cell r="M42">
            <v>0.12</v>
          </cell>
          <cell r="N42">
            <v>0</v>
          </cell>
          <cell r="O42">
            <v>0</v>
          </cell>
        </row>
        <row r="42">
          <cell r="Q42">
            <v>1</v>
          </cell>
          <cell r="R42" t="str">
            <v>1,65% / 7,6%</v>
          </cell>
          <cell r="S42">
            <v>0</v>
          </cell>
          <cell r="T42" t="str">
            <v>17.092.00</v>
          </cell>
          <cell r="U42">
            <v>18</v>
          </cell>
          <cell r="V42">
            <v>540</v>
          </cell>
          <cell r="W42">
            <v>17.5</v>
          </cell>
          <cell r="X42">
            <v>24</v>
          </cell>
          <cell r="Y42">
            <v>42</v>
          </cell>
          <cell r="Z42">
            <v>16.5</v>
          </cell>
          <cell r="AA42">
            <v>26.5</v>
          </cell>
          <cell r="AB42">
            <v>8</v>
          </cell>
          <cell r="AC42">
            <v>16</v>
          </cell>
          <cell r="AD42">
            <v>7</v>
          </cell>
        </row>
        <row r="44">
          <cell r="A44">
            <v>9565</v>
          </cell>
          <cell r="B44" t="str">
            <v>AZEITONA VERDE COM CAROÇO SACHET 50 GR</v>
          </cell>
          <cell r="C44">
            <v>0.197</v>
          </cell>
          <cell r="D44" t="str">
            <v>170 GR</v>
          </cell>
          <cell r="E44">
            <v>0.5</v>
          </cell>
          <cell r="F44">
            <v>1.8</v>
          </cell>
          <cell r="G44">
            <v>36</v>
          </cell>
          <cell r="H44">
            <v>7898647930476</v>
          </cell>
          <cell r="I44">
            <v>17898647930473</v>
          </cell>
        </row>
        <row r="44">
          <cell r="L44" t="str">
            <v>2005.70.00</v>
          </cell>
          <cell r="M44">
            <v>0.12</v>
          </cell>
          <cell r="N44">
            <v>0</v>
          </cell>
          <cell r="O44">
            <v>0</v>
          </cell>
        </row>
        <row r="44">
          <cell r="Q44">
            <v>1</v>
          </cell>
          <cell r="R44" t="str">
            <v>1,65% / 7,6%</v>
          </cell>
          <cell r="S44">
            <v>0</v>
          </cell>
          <cell r="T44" t="str">
            <v>17.092.00</v>
          </cell>
          <cell r="U44">
            <v>18</v>
          </cell>
          <cell r="V44">
            <v>540</v>
          </cell>
          <cell r="W44">
            <v>16.5</v>
          </cell>
          <cell r="X44">
            <v>16.5</v>
          </cell>
          <cell r="Y44">
            <v>42</v>
          </cell>
          <cell r="Z44">
            <v>16</v>
          </cell>
          <cell r="AA44">
            <v>11.5</v>
          </cell>
          <cell r="AB44">
            <v>4</v>
          </cell>
          <cell r="AC44">
            <v>16</v>
          </cell>
          <cell r="AD44">
            <v>7</v>
          </cell>
        </row>
        <row r="45">
          <cell r="A45">
            <v>9670</v>
          </cell>
          <cell r="B45" t="str">
            <v>AZEITONA VERDE SEM CAROÇO SACHET 50 GR</v>
          </cell>
          <cell r="C45">
            <v>0.187</v>
          </cell>
          <cell r="D45" t="str">
            <v>170 GR</v>
          </cell>
          <cell r="E45">
            <v>0.5</v>
          </cell>
          <cell r="F45">
            <v>1.8</v>
          </cell>
          <cell r="G45">
            <v>36</v>
          </cell>
          <cell r="H45">
            <v>7898647930483</v>
          </cell>
          <cell r="I45">
            <v>17898647930480</v>
          </cell>
        </row>
        <row r="45">
          <cell r="L45" t="str">
            <v>2005.70.00</v>
          </cell>
          <cell r="M45">
            <v>0.12</v>
          </cell>
          <cell r="N45">
            <v>0.5882</v>
          </cell>
          <cell r="O45">
            <v>0</v>
          </cell>
        </row>
        <row r="45">
          <cell r="Q45">
            <v>1</v>
          </cell>
          <cell r="R45" t="str">
            <v>1,65% / 7,6%</v>
          </cell>
          <cell r="S45">
            <v>0</v>
          </cell>
          <cell r="T45" t="str">
            <v>17.092.00</v>
          </cell>
          <cell r="U45">
            <v>18</v>
          </cell>
        </row>
        <row r="45">
          <cell r="W45">
            <v>16.5</v>
          </cell>
          <cell r="X45">
            <v>16.5</v>
          </cell>
          <cell r="Y45">
            <v>42</v>
          </cell>
          <cell r="Z45">
            <v>16</v>
          </cell>
          <cell r="AA45">
            <v>11.5</v>
          </cell>
          <cell r="AB45">
            <v>4</v>
          </cell>
          <cell r="AC45">
            <v>16</v>
          </cell>
          <cell r="AD45">
            <v>7</v>
          </cell>
        </row>
        <row r="46">
          <cell r="A46">
            <v>9671</v>
          </cell>
          <cell r="B46" t="str">
            <v>AZEITONA VERDE FATIADA SACHET 50 GR</v>
          </cell>
          <cell r="C46">
            <v>0.187</v>
          </cell>
          <cell r="D46" t="str">
            <v>170 GR</v>
          </cell>
          <cell r="E46">
            <v>0.5</v>
          </cell>
          <cell r="F46">
            <v>1.8</v>
          </cell>
          <cell r="G46">
            <v>36</v>
          </cell>
          <cell r="H46">
            <v>7898647930490</v>
          </cell>
          <cell r="I46">
            <v>17898647930497</v>
          </cell>
        </row>
        <row r="46">
          <cell r="L46" t="str">
            <v>2005.70.00</v>
          </cell>
          <cell r="M46">
            <v>0.12</v>
          </cell>
          <cell r="N46">
            <v>0.5882</v>
          </cell>
          <cell r="O46">
            <v>0</v>
          </cell>
        </row>
        <row r="46">
          <cell r="Q46">
            <v>1</v>
          </cell>
          <cell r="R46" t="str">
            <v>1,65% / 7,6%</v>
          </cell>
          <cell r="S46">
            <v>0</v>
          </cell>
          <cell r="T46" t="str">
            <v>17.092.00</v>
          </cell>
          <cell r="U46">
            <v>18</v>
          </cell>
        </row>
        <row r="46">
          <cell r="W46">
            <v>16.5</v>
          </cell>
          <cell r="X46">
            <v>16.5</v>
          </cell>
          <cell r="Y46">
            <v>42</v>
          </cell>
          <cell r="Z46">
            <v>16</v>
          </cell>
          <cell r="AA46">
            <v>11.5</v>
          </cell>
          <cell r="AB46">
            <v>4</v>
          </cell>
          <cell r="AC46">
            <v>16</v>
          </cell>
          <cell r="AD46">
            <v>7</v>
          </cell>
        </row>
        <row r="47">
          <cell r="A47">
            <v>9672</v>
          </cell>
          <cell r="B47" t="str">
            <v>CEBOLINHA  SACHET 50 GR</v>
          </cell>
          <cell r="C47">
            <v>0.187</v>
          </cell>
          <cell r="D47" t="str">
            <v>170 GR</v>
          </cell>
          <cell r="E47">
            <v>0.5</v>
          </cell>
          <cell r="F47">
            <v>1.8</v>
          </cell>
          <cell r="G47">
            <v>36</v>
          </cell>
          <cell r="H47">
            <v>7898647930513</v>
          </cell>
          <cell r="I47">
            <v>17898647930510</v>
          </cell>
        </row>
        <row r="47">
          <cell r="L47" t="str">
            <v>2001.90.00</v>
          </cell>
          <cell r="M47">
            <v>0.12</v>
          </cell>
          <cell r="N47">
            <v>0</v>
          </cell>
          <cell r="O47">
            <v>0</v>
          </cell>
        </row>
        <row r="47">
          <cell r="Q47">
            <v>1</v>
          </cell>
          <cell r="R47" t="str">
            <v>1,65% / 7,6%</v>
          </cell>
          <cell r="S47">
            <v>0</v>
          </cell>
          <cell r="T47" t="str">
            <v>17.090.00</v>
          </cell>
          <cell r="U47">
            <v>18</v>
          </cell>
          <cell r="V47">
            <v>540</v>
          </cell>
          <cell r="W47">
            <v>16.5</v>
          </cell>
          <cell r="X47">
            <v>16.5</v>
          </cell>
          <cell r="Y47">
            <v>42</v>
          </cell>
          <cell r="Z47">
            <v>16</v>
          </cell>
          <cell r="AA47">
            <v>11.5</v>
          </cell>
          <cell r="AB47">
            <v>4</v>
          </cell>
          <cell r="AC47">
            <v>16</v>
          </cell>
          <cell r="AD47">
            <v>7</v>
          </cell>
        </row>
        <row r="49">
          <cell r="A49">
            <v>9673</v>
          </cell>
          <cell r="B49" t="str">
            <v>CHAMPIGNON INTEIRO SACHET 100 GR</v>
          </cell>
          <cell r="C49">
            <v>0.219</v>
          </cell>
          <cell r="D49" t="str">
            <v>170 GR</v>
          </cell>
          <cell r="E49">
            <v>0.1</v>
          </cell>
          <cell r="F49">
            <v>3</v>
          </cell>
          <cell r="G49">
            <v>30</v>
          </cell>
          <cell r="H49">
            <v>7898647930131</v>
          </cell>
          <cell r="I49">
            <v>17898647930138</v>
          </cell>
        </row>
        <row r="49">
          <cell r="L49" t="str">
            <v>2003.10.00</v>
          </cell>
          <cell r="M49">
            <v>0.12</v>
          </cell>
          <cell r="N49">
            <v>0</v>
          </cell>
          <cell r="O49">
            <v>0</v>
          </cell>
        </row>
        <row r="49">
          <cell r="Q49">
            <v>1</v>
          </cell>
          <cell r="R49" t="str">
            <v>1,65% / 7,6%</v>
          </cell>
          <cell r="S49">
            <v>0</v>
          </cell>
          <cell r="T49">
            <v>0</v>
          </cell>
          <cell r="U49">
            <v>18</v>
          </cell>
          <cell r="V49">
            <v>540</v>
          </cell>
          <cell r="W49">
            <v>16.5</v>
          </cell>
          <cell r="X49">
            <v>16.5</v>
          </cell>
          <cell r="Y49">
            <v>42</v>
          </cell>
          <cell r="Z49">
            <v>15</v>
          </cell>
          <cell r="AA49">
            <v>12</v>
          </cell>
          <cell r="AB49">
            <v>6</v>
          </cell>
          <cell r="AC49">
            <v>16</v>
          </cell>
          <cell r="AD49">
            <v>7</v>
          </cell>
        </row>
        <row r="50">
          <cell r="A50">
            <v>10057</v>
          </cell>
          <cell r="B50" t="str">
            <v>CHAMPIGNON FATIADO SACHET 100 GR</v>
          </cell>
          <cell r="C50">
            <v>0.209</v>
          </cell>
          <cell r="D50" t="str">
            <v>170 GR</v>
          </cell>
          <cell r="E50">
            <v>0.1</v>
          </cell>
          <cell r="F50">
            <v>3</v>
          </cell>
          <cell r="G50">
            <v>30</v>
          </cell>
          <cell r="H50">
            <v>7898647930148</v>
          </cell>
          <cell r="I50">
            <v>17898647930145</v>
          </cell>
        </row>
        <row r="50">
          <cell r="L50" t="str">
            <v>2003.10.00</v>
          </cell>
          <cell r="M50">
            <v>0.12</v>
          </cell>
          <cell r="N50">
            <v>0</v>
          </cell>
          <cell r="O50">
            <v>0</v>
          </cell>
        </row>
        <row r="50">
          <cell r="Q50">
            <v>1</v>
          </cell>
          <cell r="R50" t="str">
            <v>1,65% / 7,6%</v>
          </cell>
          <cell r="S50">
            <v>0</v>
          </cell>
          <cell r="T50">
            <v>0</v>
          </cell>
          <cell r="U50">
            <v>18</v>
          </cell>
          <cell r="V50">
            <v>540</v>
          </cell>
          <cell r="W50">
            <v>16.5</v>
          </cell>
          <cell r="X50">
            <v>16.5</v>
          </cell>
          <cell r="Y50">
            <v>42</v>
          </cell>
          <cell r="Z50">
            <v>15</v>
          </cell>
          <cell r="AA50">
            <v>12</v>
          </cell>
          <cell r="AB50">
            <v>6</v>
          </cell>
          <cell r="AC50">
            <v>16</v>
          </cell>
          <cell r="AD50">
            <v>7</v>
          </cell>
        </row>
        <row r="52">
          <cell r="A52">
            <v>9674</v>
          </cell>
          <cell r="B52" t="str">
            <v>AZEITONA VERDE  FATIADA SACHET 1,010 KG</v>
          </cell>
          <cell r="C52">
            <v>2.532</v>
          </cell>
          <cell r="D52" t="str">
            <v>1600 GR</v>
          </cell>
          <cell r="E52">
            <v>1.01</v>
          </cell>
          <cell r="F52">
            <v>6.06</v>
          </cell>
          <cell r="G52">
            <v>6</v>
          </cell>
          <cell r="H52">
            <v>7898647930308</v>
          </cell>
          <cell r="I52">
            <v>17898647930305</v>
          </cell>
        </row>
        <row r="52">
          <cell r="L52" t="str">
            <v>2005.70.00</v>
          </cell>
          <cell r="M52">
            <v>0.12</v>
          </cell>
          <cell r="N52">
            <v>0</v>
          </cell>
          <cell r="O52">
            <v>0</v>
          </cell>
        </row>
        <row r="52">
          <cell r="Q52">
            <v>1</v>
          </cell>
          <cell r="R52" t="str">
            <v>1,65% / 7,6%</v>
          </cell>
          <cell r="S52">
            <v>0</v>
          </cell>
          <cell r="T52" t="str">
            <v>17.092.00</v>
          </cell>
          <cell r="U52">
            <v>18</v>
          </cell>
          <cell r="V52">
            <v>540</v>
          </cell>
          <cell r="W52">
            <v>17.5</v>
          </cell>
          <cell r="X52">
            <v>24</v>
          </cell>
          <cell r="Y52">
            <v>42</v>
          </cell>
        </row>
        <row r="52">
          <cell r="AC52">
            <v>16</v>
          </cell>
          <cell r="AD52">
            <v>7</v>
          </cell>
        </row>
        <row r="53">
          <cell r="A53">
            <v>9675</v>
          </cell>
          <cell r="B53" t="str">
            <v>AZEITONA VERDE  S/ CAROÇO SACHET 1,010 KG</v>
          </cell>
          <cell r="C53">
            <v>2.512</v>
          </cell>
          <cell r="D53" t="str">
            <v>1600 GR</v>
          </cell>
          <cell r="E53">
            <v>1.01</v>
          </cell>
          <cell r="F53">
            <v>6.06</v>
          </cell>
          <cell r="G53">
            <v>6</v>
          </cell>
          <cell r="H53">
            <v>7898647930377</v>
          </cell>
          <cell r="I53">
            <v>17898647930312</v>
          </cell>
        </row>
        <row r="53">
          <cell r="L53" t="str">
            <v>2005.70.00</v>
          </cell>
          <cell r="M53">
            <v>0.12</v>
          </cell>
          <cell r="N53">
            <v>0</v>
          </cell>
          <cell r="O53">
            <v>0</v>
          </cell>
        </row>
        <row r="53">
          <cell r="Q53">
            <v>1</v>
          </cell>
          <cell r="R53" t="str">
            <v>1,65% / 7,6%</v>
          </cell>
          <cell r="S53">
            <v>0</v>
          </cell>
          <cell r="T53" t="str">
            <v>17.092.00</v>
          </cell>
          <cell r="U53">
            <v>18</v>
          </cell>
          <cell r="V53">
            <v>540</v>
          </cell>
          <cell r="W53">
            <v>17.5</v>
          </cell>
          <cell r="X53">
            <v>24</v>
          </cell>
          <cell r="Y53">
            <v>42</v>
          </cell>
        </row>
        <row r="53">
          <cell r="AC53">
            <v>16</v>
          </cell>
          <cell r="AD53">
            <v>7</v>
          </cell>
        </row>
        <row r="54">
          <cell r="A54">
            <v>9676</v>
          </cell>
          <cell r="B54" t="str">
            <v>AZEITONA VERDE RECHEADA SACHET 1,010 KG</v>
          </cell>
          <cell r="C54">
            <v>2.377</v>
          </cell>
          <cell r="D54" t="str">
            <v>1600 GR</v>
          </cell>
          <cell r="E54">
            <v>1.01</v>
          </cell>
          <cell r="F54">
            <v>6.06</v>
          </cell>
          <cell r="G54">
            <v>6</v>
          </cell>
          <cell r="H54">
            <v>7898647930322</v>
          </cell>
          <cell r="I54">
            <v>17898647930329</v>
          </cell>
        </row>
        <row r="54">
          <cell r="L54" t="str">
            <v>2005.70.00</v>
          </cell>
          <cell r="M54">
            <v>0.12</v>
          </cell>
          <cell r="N54">
            <v>0</v>
          </cell>
          <cell r="O54">
            <v>0</v>
          </cell>
        </row>
        <row r="54">
          <cell r="Q54">
            <v>1</v>
          </cell>
          <cell r="R54" t="str">
            <v>1,65% / 7,6%</v>
          </cell>
          <cell r="S54">
            <v>0</v>
          </cell>
          <cell r="T54" t="str">
            <v>17.092.00</v>
          </cell>
          <cell r="U54">
            <v>18</v>
          </cell>
          <cell r="V54">
            <v>540</v>
          </cell>
          <cell r="W54">
            <v>17.5</v>
          </cell>
          <cell r="X54">
            <v>24</v>
          </cell>
          <cell r="Y54">
            <v>42</v>
          </cell>
        </row>
        <row r="54">
          <cell r="AC54">
            <v>16</v>
          </cell>
          <cell r="AD54">
            <v>7</v>
          </cell>
        </row>
        <row r="55">
          <cell r="A55">
            <v>9677</v>
          </cell>
          <cell r="B55" t="str">
            <v>AZEITONA VERDE GRAUDA SACHET 1,010 KG</v>
          </cell>
          <cell r="C55">
            <v>4.412</v>
          </cell>
          <cell r="D55" t="str">
            <v>1600 GR</v>
          </cell>
          <cell r="E55">
            <v>1.01</v>
          </cell>
          <cell r="F55">
            <v>6.06</v>
          </cell>
          <cell r="G55">
            <v>6</v>
          </cell>
          <cell r="H55">
            <v>7898647930346</v>
          </cell>
          <cell r="I55">
            <v>17898647930343</v>
          </cell>
        </row>
        <row r="55">
          <cell r="L55" t="str">
            <v>2005.70.00</v>
          </cell>
          <cell r="M55">
            <v>0.12</v>
          </cell>
          <cell r="N55">
            <v>0</v>
          </cell>
          <cell r="O55">
            <v>0</v>
          </cell>
        </row>
        <row r="55">
          <cell r="Q55">
            <v>1</v>
          </cell>
          <cell r="R55" t="str">
            <v>1,65% / 7,6%</v>
          </cell>
          <cell r="S55">
            <v>0</v>
          </cell>
          <cell r="T55" t="str">
            <v>17.092.00</v>
          </cell>
          <cell r="U55">
            <v>18</v>
          </cell>
          <cell r="V55">
            <v>540</v>
          </cell>
          <cell r="W55">
            <v>17.5</v>
          </cell>
          <cell r="X55">
            <v>24</v>
          </cell>
          <cell r="Y55">
            <v>42</v>
          </cell>
        </row>
        <row r="55">
          <cell r="AC55">
            <v>16</v>
          </cell>
          <cell r="AD55">
            <v>7</v>
          </cell>
        </row>
        <row r="56">
          <cell r="A56">
            <v>9678</v>
          </cell>
          <cell r="B56" t="str">
            <v>AZEITONA VERDE MEDIA SACHET 1,010 KG</v>
          </cell>
          <cell r="C56">
            <v>2.504</v>
          </cell>
          <cell r="D56" t="str">
            <v>1600 GR</v>
          </cell>
          <cell r="E56">
            <v>1.01</v>
          </cell>
          <cell r="F56">
            <v>6.06</v>
          </cell>
          <cell r="G56">
            <v>6</v>
          </cell>
          <cell r="H56">
            <v>7898647930353</v>
          </cell>
          <cell r="I56">
            <v>17898647930350</v>
          </cell>
        </row>
        <row r="56">
          <cell r="L56" t="str">
            <v>2005.70.00</v>
          </cell>
          <cell r="M56">
            <v>0.12</v>
          </cell>
          <cell r="N56">
            <v>0</v>
          </cell>
          <cell r="O56">
            <v>0</v>
          </cell>
        </row>
        <row r="56">
          <cell r="Q56">
            <v>1</v>
          </cell>
          <cell r="R56" t="str">
            <v>1,65% / 7,6%</v>
          </cell>
          <cell r="S56">
            <v>0</v>
          </cell>
          <cell r="T56" t="str">
            <v>17.092.00</v>
          </cell>
          <cell r="U56">
            <v>18</v>
          </cell>
          <cell r="V56">
            <v>540</v>
          </cell>
          <cell r="W56">
            <v>17.5</v>
          </cell>
          <cell r="X56">
            <v>24</v>
          </cell>
          <cell r="Y56">
            <v>42</v>
          </cell>
        </row>
        <row r="56">
          <cell r="AC56">
            <v>16</v>
          </cell>
          <cell r="AD56">
            <v>7</v>
          </cell>
        </row>
        <row r="57">
          <cell r="A57">
            <v>9679</v>
          </cell>
          <cell r="B57" t="str">
            <v>AZEITONA VERDE MIUDA SACHET 1,010 KG</v>
          </cell>
          <cell r="C57">
            <v>2.5</v>
          </cell>
          <cell r="D57" t="str">
            <v>1600 GR</v>
          </cell>
          <cell r="E57">
            <v>1.01</v>
          </cell>
          <cell r="F57">
            <v>6.06</v>
          </cell>
          <cell r="G57">
            <v>6</v>
          </cell>
          <cell r="H57">
            <v>7898647930360</v>
          </cell>
          <cell r="I57">
            <v>17898647930367</v>
          </cell>
        </row>
        <row r="57">
          <cell r="L57" t="str">
            <v>2005.70.00</v>
          </cell>
          <cell r="M57">
            <v>0.12</v>
          </cell>
          <cell r="N57">
            <v>0</v>
          </cell>
          <cell r="O57">
            <v>0</v>
          </cell>
        </row>
        <row r="57">
          <cell r="Q57">
            <v>1</v>
          </cell>
          <cell r="R57" t="str">
            <v>1,65% / 7,6%</v>
          </cell>
          <cell r="S57">
            <v>0</v>
          </cell>
          <cell r="T57" t="str">
            <v>17.092.00</v>
          </cell>
          <cell r="U57">
            <v>18</v>
          </cell>
          <cell r="V57">
            <v>540</v>
          </cell>
          <cell r="W57">
            <v>17.5</v>
          </cell>
          <cell r="X57">
            <v>24</v>
          </cell>
          <cell r="Y57">
            <v>42</v>
          </cell>
        </row>
        <row r="57">
          <cell r="AC57">
            <v>16</v>
          </cell>
          <cell r="AD57">
            <v>7</v>
          </cell>
        </row>
        <row r="58">
          <cell r="A58">
            <v>9680</v>
          </cell>
          <cell r="B58" t="str">
            <v>CHAMPIGNON INTEIRO SACHET 1,010 KG</v>
          </cell>
          <cell r="C58">
            <v>2.26</v>
          </cell>
          <cell r="D58" t="str">
            <v>1600 GR</v>
          </cell>
          <cell r="E58">
            <v>1.01</v>
          </cell>
          <cell r="F58">
            <v>6.06</v>
          </cell>
          <cell r="G58">
            <v>6</v>
          </cell>
          <cell r="H58">
            <v>7898647930445</v>
          </cell>
          <cell r="I58">
            <v>17898647930442</v>
          </cell>
        </row>
        <row r="58">
          <cell r="L58" t="str">
            <v>2003.10.00</v>
          </cell>
          <cell r="M58">
            <v>0.12</v>
          </cell>
          <cell r="N58">
            <v>0</v>
          </cell>
          <cell r="O58">
            <v>0</v>
          </cell>
        </row>
        <row r="58">
          <cell r="Q58">
            <v>1</v>
          </cell>
          <cell r="R58" t="str">
            <v>1,65% / 7,6%</v>
          </cell>
          <cell r="S58">
            <v>0</v>
          </cell>
          <cell r="T58">
            <v>0</v>
          </cell>
          <cell r="U58">
            <v>18</v>
          </cell>
          <cell r="V58">
            <v>540</v>
          </cell>
          <cell r="W58">
            <v>17.5</v>
          </cell>
          <cell r="X58">
            <v>24</v>
          </cell>
          <cell r="Y58">
            <v>42</v>
          </cell>
        </row>
        <row r="58">
          <cell r="AC58">
            <v>16</v>
          </cell>
          <cell r="AD58">
            <v>7</v>
          </cell>
        </row>
        <row r="59">
          <cell r="A59">
            <v>9681</v>
          </cell>
          <cell r="B59" t="str">
            <v>CHAMPIGNON FATIADO SACHET 1,010 KG</v>
          </cell>
          <cell r="C59">
            <v>2.387</v>
          </cell>
          <cell r="D59" t="str">
            <v>1600 GR</v>
          </cell>
          <cell r="E59">
            <v>1.01</v>
          </cell>
          <cell r="F59">
            <v>6.06</v>
          </cell>
          <cell r="G59">
            <v>6</v>
          </cell>
          <cell r="H59">
            <v>7898647930452</v>
          </cell>
          <cell r="I59">
            <v>17898647930459</v>
          </cell>
        </row>
        <row r="59">
          <cell r="L59" t="str">
            <v>2003.10.00</v>
          </cell>
          <cell r="M59">
            <v>0.12</v>
          </cell>
          <cell r="N59">
            <v>0</v>
          </cell>
          <cell r="O59">
            <v>0</v>
          </cell>
        </row>
        <row r="59">
          <cell r="Q59">
            <v>1</v>
          </cell>
          <cell r="R59" t="str">
            <v>1,65% / 7,6%</v>
          </cell>
          <cell r="S59">
            <v>0</v>
          </cell>
          <cell r="T59">
            <v>0</v>
          </cell>
          <cell r="U59">
            <v>18</v>
          </cell>
          <cell r="V59">
            <v>540</v>
          </cell>
          <cell r="W59">
            <v>17.5</v>
          </cell>
          <cell r="X59">
            <v>24</v>
          </cell>
          <cell r="Y59">
            <v>42</v>
          </cell>
        </row>
        <row r="59">
          <cell r="AC59">
            <v>16</v>
          </cell>
          <cell r="AD59">
            <v>7</v>
          </cell>
        </row>
        <row r="60">
          <cell r="I60" t="str">
            <v>FARDO C/ 2</v>
          </cell>
          <cell r="J60" t="str">
            <v>FARDO C/ 4</v>
          </cell>
          <cell r="K60" t="str">
            <v>CAIXA C/ 6</v>
          </cell>
        </row>
        <row r="61">
          <cell r="A61">
            <v>9682</v>
          </cell>
          <cell r="B61" t="str">
            <v>AZEITONA VERDE  FATIADA BALDE 2 KG</v>
          </cell>
          <cell r="C61">
            <v>3.49</v>
          </cell>
          <cell r="D61" t="str">
            <v>3 KG</v>
          </cell>
          <cell r="E61">
            <v>2</v>
          </cell>
          <cell r="F61">
            <v>4</v>
          </cell>
          <cell r="G61">
            <v>2</v>
          </cell>
          <cell r="H61">
            <v>7898647930155</v>
          </cell>
          <cell r="I61">
            <v>37898647930156</v>
          </cell>
          <cell r="J61">
            <v>27898647930159</v>
          </cell>
          <cell r="K61">
            <v>17898647930152</v>
          </cell>
          <cell r="L61" t="str">
            <v>2005.70.00</v>
          </cell>
          <cell r="M61">
            <v>0.12</v>
          </cell>
          <cell r="N61">
            <v>0</v>
          </cell>
          <cell r="O61">
            <v>0</v>
          </cell>
        </row>
        <row r="61">
          <cell r="Q61">
            <v>1</v>
          </cell>
          <cell r="R61" t="str">
            <v>1,65% / 7,6%</v>
          </cell>
          <cell r="S61">
            <v>0</v>
          </cell>
          <cell r="T61" t="str">
            <v>17.092.01</v>
          </cell>
          <cell r="U61">
            <v>12</v>
          </cell>
          <cell r="V61">
            <v>360</v>
          </cell>
          <cell r="W61">
            <v>16</v>
          </cell>
          <cell r="X61">
            <v>19</v>
          </cell>
          <cell r="Y61">
            <v>38</v>
          </cell>
          <cell r="Z61">
            <v>16.5</v>
          </cell>
          <cell r="AA61">
            <v>18.5</v>
          </cell>
          <cell r="AB61">
            <v>18.5</v>
          </cell>
          <cell r="AC61">
            <v>15</v>
          </cell>
          <cell r="AD61">
            <v>7</v>
          </cell>
        </row>
        <row r="62">
          <cell r="A62">
            <v>9685</v>
          </cell>
          <cell r="B62" t="str">
            <v>AZEITONA VERDE S/ CAROÇO BALDE 2 KG</v>
          </cell>
          <cell r="C62">
            <v>3.55</v>
          </cell>
          <cell r="D62" t="str">
            <v>3 KG</v>
          </cell>
          <cell r="E62">
            <v>2</v>
          </cell>
          <cell r="F62">
            <v>4</v>
          </cell>
          <cell r="G62">
            <v>2</v>
          </cell>
          <cell r="H62">
            <v>7898647930162</v>
          </cell>
          <cell r="I62">
            <v>37898647930163</v>
          </cell>
          <cell r="J62">
            <v>27898647930166</v>
          </cell>
          <cell r="K62">
            <v>17898647930169</v>
          </cell>
          <cell r="L62" t="str">
            <v>2005.70.00</v>
          </cell>
          <cell r="M62">
            <v>0.12</v>
          </cell>
          <cell r="N62">
            <v>0</v>
          </cell>
          <cell r="O62">
            <v>0</v>
          </cell>
        </row>
        <row r="62">
          <cell r="Q62">
            <v>1</v>
          </cell>
          <cell r="R62" t="str">
            <v>1,65% / 7,6%</v>
          </cell>
          <cell r="S62">
            <v>0</v>
          </cell>
          <cell r="T62" t="str">
            <v>17.092.01</v>
          </cell>
          <cell r="U62">
            <v>12</v>
          </cell>
          <cell r="V62">
            <v>360</v>
          </cell>
          <cell r="W62">
            <v>16</v>
          </cell>
          <cell r="X62">
            <v>19</v>
          </cell>
          <cell r="Y62">
            <v>38</v>
          </cell>
          <cell r="Z62">
            <v>16.5</v>
          </cell>
          <cell r="AA62">
            <v>18.5</v>
          </cell>
          <cell r="AB62">
            <v>18.5</v>
          </cell>
          <cell r="AC62">
            <v>15</v>
          </cell>
          <cell r="AD62">
            <v>7</v>
          </cell>
        </row>
        <row r="63">
          <cell r="A63">
            <v>9688</v>
          </cell>
          <cell r="B63" t="str">
            <v>AZEITONA PRETA BALDE 2 KG</v>
          </cell>
          <cell r="C63">
            <v>3.55</v>
          </cell>
          <cell r="D63" t="str">
            <v>3 KG</v>
          </cell>
          <cell r="E63">
            <v>2</v>
          </cell>
          <cell r="F63">
            <v>4</v>
          </cell>
          <cell r="G63">
            <v>2</v>
          </cell>
          <cell r="H63">
            <v>7898647930186</v>
          </cell>
          <cell r="I63">
            <v>37898647930187</v>
          </cell>
          <cell r="J63">
            <v>27898647930180</v>
          </cell>
          <cell r="K63">
            <v>17898647930183</v>
          </cell>
          <cell r="L63" t="str">
            <v>2005.70.00</v>
          </cell>
          <cell r="M63">
            <v>0.12</v>
          </cell>
          <cell r="N63">
            <v>0</v>
          </cell>
          <cell r="O63">
            <v>0</v>
          </cell>
        </row>
        <row r="63">
          <cell r="Q63">
            <v>1</v>
          </cell>
          <cell r="R63" t="str">
            <v>1,65% / 7,6%</v>
          </cell>
          <cell r="S63">
            <v>0</v>
          </cell>
          <cell r="T63" t="str">
            <v>17.092.01</v>
          </cell>
          <cell r="U63">
            <v>12</v>
          </cell>
          <cell r="V63">
            <v>360</v>
          </cell>
          <cell r="W63">
            <v>16</v>
          </cell>
          <cell r="X63">
            <v>19</v>
          </cell>
          <cell r="Y63">
            <v>38</v>
          </cell>
          <cell r="Z63">
            <v>16.5</v>
          </cell>
          <cell r="AA63">
            <v>18.5</v>
          </cell>
          <cell r="AB63">
            <v>18.5</v>
          </cell>
          <cell r="AC63">
            <v>15</v>
          </cell>
          <cell r="AD63">
            <v>7</v>
          </cell>
        </row>
        <row r="64">
          <cell r="A64">
            <v>9689</v>
          </cell>
          <cell r="B64" t="str">
            <v>AZEITONA VERDE GRAUDA BALDE 2 KG</v>
          </cell>
          <cell r="C64">
            <v>3.5</v>
          </cell>
          <cell r="D64" t="str">
            <v>3 KG</v>
          </cell>
          <cell r="E64">
            <v>2</v>
          </cell>
          <cell r="F64">
            <v>4</v>
          </cell>
          <cell r="G64">
            <v>2</v>
          </cell>
          <cell r="H64">
            <v>7898647930193</v>
          </cell>
          <cell r="I64">
            <v>37898647930194</v>
          </cell>
          <cell r="J64">
            <v>27898647930197</v>
          </cell>
          <cell r="K64">
            <v>17898647930190</v>
          </cell>
          <cell r="L64" t="str">
            <v>2005.70.00</v>
          </cell>
          <cell r="M64">
            <v>0.12</v>
          </cell>
          <cell r="N64">
            <v>0</v>
          </cell>
          <cell r="O64">
            <v>0</v>
          </cell>
        </row>
        <row r="64">
          <cell r="Q64">
            <v>1</v>
          </cell>
          <cell r="R64" t="str">
            <v>1,65% / 7,6%</v>
          </cell>
          <cell r="S64">
            <v>0</v>
          </cell>
          <cell r="T64" t="str">
            <v>17.092.01</v>
          </cell>
          <cell r="U64">
            <v>12</v>
          </cell>
          <cell r="V64">
            <v>360</v>
          </cell>
          <cell r="W64">
            <v>16</v>
          </cell>
          <cell r="X64">
            <v>19</v>
          </cell>
          <cell r="Y64">
            <v>38</v>
          </cell>
          <cell r="Z64">
            <v>16.5</v>
          </cell>
          <cell r="AA64">
            <v>18.5</v>
          </cell>
          <cell r="AB64">
            <v>18.5</v>
          </cell>
          <cell r="AC64">
            <v>15</v>
          </cell>
          <cell r="AD64">
            <v>7</v>
          </cell>
        </row>
        <row r="65">
          <cell r="A65">
            <v>9690</v>
          </cell>
          <cell r="B65" t="str">
            <v>AZEITONA VERDE MEDIA BALDE 2 KG</v>
          </cell>
          <cell r="C65">
            <v>3.59</v>
          </cell>
          <cell r="D65" t="str">
            <v>3 KG</v>
          </cell>
          <cell r="E65">
            <v>2</v>
          </cell>
          <cell r="F65">
            <v>4</v>
          </cell>
          <cell r="G65">
            <v>2</v>
          </cell>
          <cell r="H65">
            <v>7898647930209</v>
          </cell>
          <cell r="I65">
            <v>37898647930200</v>
          </cell>
          <cell r="J65">
            <v>27898647930203</v>
          </cell>
          <cell r="K65">
            <v>17898647930206</v>
          </cell>
          <cell r="L65" t="str">
            <v>2005.70.00</v>
          </cell>
          <cell r="M65">
            <v>0.12</v>
          </cell>
          <cell r="N65">
            <v>0</v>
          </cell>
          <cell r="O65">
            <v>0</v>
          </cell>
        </row>
        <row r="65">
          <cell r="Q65">
            <v>1</v>
          </cell>
          <cell r="R65" t="str">
            <v>1,65% / 7,6%</v>
          </cell>
          <cell r="S65">
            <v>0</v>
          </cell>
          <cell r="T65" t="str">
            <v>17.092.01</v>
          </cell>
          <cell r="U65">
            <v>12</v>
          </cell>
          <cell r="V65">
            <v>360</v>
          </cell>
          <cell r="W65">
            <v>16</v>
          </cell>
          <cell r="X65">
            <v>19</v>
          </cell>
          <cell r="Y65">
            <v>38</v>
          </cell>
          <cell r="Z65">
            <v>16.5</v>
          </cell>
          <cell r="AA65">
            <v>18.5</v>
          </cell>
          <cell r="AB65">
            <v>18.5</v>
          </cell>
          <cell r="AC65">
            <v>15</v>
          </cell>
          <cell r="AD65">
            <v>7</v>
          </cell>
        </row>
        <row r="66">
          <cell r="A66">
            <v>9564</v>
          </cell>
          <cell r="B66" t="str">
            <v>AZEITONA VERDE MIUDA BALDE 2 KG</v>
          </cell>
          <cell r="C66">
            <v>3.64</v>
          </cell>
          <cell r="D66" t="str">
            <v>3 KG</v>
          </cell>
          <cell r="E66">
            <v>2</v>
          </cell>
          <cell r="F66">
            <v>4</v>
          </cell>
          <cell r="G66">
            <v>2</v>
          </cell>
          <cell r="H66">
            <v>7898647930216</v>
          </cell>
          <cell r="I66">
            <v>37898647930217</v>
          </cell>
          <cell r="J66">
            <v>27898647930210</v>
          </cell>
          <cell r="K66">
            <v>17898647930213</v>
          </cell>
          <cell r="L66" t="str">
            <v>2005.70.00</v>
          </cell>
          <cell r="M66">
            <v>0.12</v>
          </cell>
          <cell r="N66">
            <v>0</v>
          </cell>
          <cell r="O66">
            <v>0</v>
          </cell>
        </row>
        <row r="66">
          <cell r="Q66">
            <v>1</v>
          </cell>
          <cell r="R66" t="str">
            <v>1,65% / 7,6%</v>
          </cell>
          <cell r="S66">
            <v>0</v>
          </cell>
          <cell r="T66" t="str">
            <v>17.092.01</v>
          </cell>
          <cell r="U66">
            <v>12</v>
          </cell>
          <cell r="V66">
            <v>360</v>
          </cell>
          <cell r="W66">
            <v>16</v>
          </cell>
          <cell r="X66">
            <v>19</v>
          </cell>
          <cell r="Y66">
            <v>38</v>
          </cell>
          <cell r="Z66">
            <v>16.5</v>
          </cell>
          <cell r="AA66">
            <v>18.5</v>
          </cell>
          <cell r="AB66">
            <v>18.5</v>
          </cell>
          <cell r="AC66">
            <v>15</v>
          </cell>
          <cell r="AD66">
            <v>7</v>
          </cell>
        </row>
        <row r="67">
          <cell r="A67">
            <v>9683</v>
          </cell>
          <cell r="B67" t="str">
            <v>AZ PRETA FATIADA BALDE 2 KG</v>
          </cell>
          <cell r="C67">
            <v>3.55</v>
          </cell>
          <cell r="D67" t="str">
            <v>3 KG</v>
          </cell>
          <cell r="E67">
            <v>2</v>
          </cell>
          <cell r="F67">
            <v>4</v>
          </cell>
          <cell r="G67">
            <v>2</v>
          </cell>
          <cell r="H67">
            <v>7898647930520</v>
          </cell>
          <cell r="I67">
            <v>37898647930521</v>
          </cell>
          <cell r="J67">
            <v>27898647930524</v>
          </cell>
          <cell r="K67">
            <v>17898647930527</v>
          </cell>
          <cell r="L67" t="str">
            <v>2005.70.00</v>
          </cell>
          <cell r="M67">
            <v>0.12</v>
          </cell>
          <cell r="N67">
            <v>0</v>
          </cell>
          <cell r="O67">
            <v>0</v>
          </cell>
        </row>
        <row r="67">
          <cell r="Q67">
            <v>1</v>
          </cell>
          <cell r="R67" t="str">
            <v>1,65% / 7,6%</v>
          </cell>
          <cell r="S67">
            <v>0</v>
          </cell>
          <cell r="T67" t="str">
            <v>17.092.01</v>
          </cell>
          <cell r="U67">
            <v>12</v>
          </cell>
          <cell r="V67">
            <v>360</v>
          </cell>
          <cell r="W67">
            <v>16</v>
          </cell>
          <cell r="X67">
            <v>19</v>
          </cell>
          <cell r="Y67">
            <v>38</v>
          </cell>
          <cell r="Z67">
            <v>16.5</v>
          </cell>
          <cell r="AA67">
            <v>18.5</v>
          </cell>
          <cell r="AB67">
            <v>18.5</v>
          </cell>
          <cell r="AC67">
            <v>15</v>
          </cell>
          <cell r="AD67">
            <v>7</v>
          </cell>
        </row>
        <row r="68">
          <cell r="A68">
            <v>9686</v>
          </cell>
          <cell r="B68" t="str">
            <v>AZ PRETA SEM CAROÇO BALDE 2 KG</v>
          </cell>
          <cell r="C68">
            <v>3.55</v>
          </cell>
          <cell r="D68" t="str">
            <v>3 KG</v>
          </cell>
          <cell r="E68">
            <v>2</v>
          </cell>
          <cell r="F68">
            <v>4</v>
          </cell>
          <cell r="G68">
            <v>2</v>
          </cell>
          <cell r="H68">
            <v>7898647930537</v>
          </cell>
          <cell r="I68">
            <v>37898647930538</v>
          </cell>
          <cell r="J68">
            <v>27898647930531</v>
          </cell>
          <cell r="K68">
            <v>17898647930534</v>
          </cell>
          <cell r="L68" t="str">
            <v>2005.70.00</v>
          </cell>
          <cell r="M68">
            <v>0.12</v>
          </cell>
          <cell r="N68">
            <v>0</v>
          </cell>
          <cell r="O68">
            <v>0</v>
          </cell>
        </row>
        <row r="68">
          <cell r="Q68">
            <v>1</v>
          </cell>
          <cell r="R68" t="str">
            <v>1,65% / 7,6%</v>
          </cell>
          <cell r="S68">
            <v>0</v>
          </cell>
          <cell r="T68" t="str">
            <v>17.092.01</v>
          </cell>
          <cell r="U68">
            <v>12</v>
          </cell>
          <cell r="V68">
            <v>360</v>
          </cell>
          <cell r="W68">
            <v>16</v>
          </cell>
          <cell r="X68">
            <v>19</v>
          </cell>
          <cell r="Y68">
            <v>38</v>
          </cell>
          <cell r="Z68">
            <v>16.5</v>
          </cell>
          <cell r="AA68">
            <v>18.5</v>
          </cell>
          <cell r="AB68">
            <v>18.5</v>
          </cell>
          <cell r="AC68">
            <v>15</v>
          </cell>
          <cell r="AD68">
            <v>7</v>
          </cell>
        </row>
        <row r="69">
          <cell r="A69">
            <v>9732</v>
          </cell>
          <cell r="B69" t="str">
            <v>AZ VERDE RECHEADA BALDE 2 KG</v>
          </cell>
          <cell r="C69">
            <v>3.56</v>
          </cell>
          <cell r="D69" t="str">
            <v>3 KG</v>
          </cell>
          <cell r="E69">
            <v>2</v>
          </cell>
          <cell r="F69">
            <v>4</v>
          </cell>
          <cell r="G69">
            <v>2</v>
          </cell>
          <cell r="H69">
            <v>7898647930179</v>
          </cell>
          <cell r="I69">
            <v>37898647930170</v>
          </cell>
          <cell r="J69">
            <v>27898647930173</v>
          </cell>
          <cell r="K69">
            <v>17898647930176</v>
          </cell>
          <cell r="L69" t="str">
            <v>2005.70.00</v>
          </cell>
          <cell r="M69">
            <v>0.12</v>
          </cell>
          <cell r="N69">
            <v>0</v>
          </cell>
          <cell r="O69">
            <v>0</v>
          </cell>
        </row>
        <row r="69">
          <cell r="Q69">
            <v>1</v>
          </cell>
          <cell r="R69" t="str">
            <v>1,65% / 7,6%</v>
          </cell>
          <cell r="S69">
            <v>0</v>
          </cell>
          <cell r="T69" t="str">
            <v>17.092.01</v>
          </cell>
          <cell r="U69">
            <v>12</v>
          </cell>
          <cell r="V69">
            <v>360</v>
          </cell>
          <cell r="W69">
            <v>16</v>
          </cell>
          <cell r="X69">
            <v>19</v>
          </cell>
          <cell r="Y69">
            <v>38</v>
          </cell>
          <cell r="Z69">
            <v>16.5</v>
          </cell>
          <cell r="AA69">
            <v>18.5</v>
          </cell>
          <cell r="AB69">
            <v>18.5</v>
          </cell>
          <cell r="AC69">
            <v>15</v>
          </cell>
          <cell r="AD69">
            <v>7</v>
          </cell>
        </row>
        <row r="70">
          <cell r="A70">
            <v>9733</v>
          </cell>
          <cell r="B70" t="str">
            <v>AZ VERDE GORDAL BALDE 2 KG</v>
          </cell>
          <cell r="C70">
            <v>3.52</v>
          </cell>
          <cell r="D70" t="str">
            <v>3 KG</v>
          </cell>
          <cell r="E70">
            <v>2</v>
          </cell>
          <cell r="F70">
            <v>4</v>
          </cell>
          <cell r="G70">
            <v>2</v>
          </cell>
          <cell r="H70">
            <v>7898647930551</v>
          </cell>
          <cell r="I70">
            <v>37898647930552</v>
          </cell>
          <cell r="J70">
            <v>27898647930555</v>
          </cell>
          <cell r="K70">
            <v>17898647930558</v>
          </cell>
          <cell r="L70" t="str">
            <v>2005.70.00</v>
          </cell>
          <cell r="M70">
            <v>0.12</v>
          </cell>
          <cell r="N70">
            <v>0</v>
          </cell>
          <cell r="O70">
            <v>0</v>
          </cell>
        </row>
        <row r="70">
          <cell r="Q70">
            <v>1</v>
          </cell>
          <cell r="R70" t="str">
            <v>1,65% / 7,6%</v>
          </cell>
          <cell r="S70">
            <v>0</v>
          </cell>
          <cell r="T70" t="str">
            <v>17.092.01</v>
          </cell>
          <cell r="U70">
            <v>12</v>
          </cell>
          <cell r="V70">
            <v>360</v>
          </cell>
          <cell r="W70">
            <v>16</v>
          </cell>
          <cell r="X70">
            <v>19</v>
          </cell>
          <cell r="Y70">
            <v>38</v>
          </cell>
          <cell r="Z70">
            <v>16.5</v>
          </cell>
          <cell r="AA70">
            <v>18.5</v>
          </cell>
          <cell r="AB70">
            <v>18.5</v>
          </cell>
          <cell r="AC70">
            <v>15</v>
          </cell>
          <cell r="AD70">
            <v>7</v>
          </cell>
        </row>
        <row r="71">
          <cell r="A71">
            <v>9687</v>
          </cell>
          <cell r="B71" t="str">
            <v>AZ VERDE GORDAL SEM CAROÇO BALDE 2 KG</v>
          </cell>
          <cell r="C71">
            <v>3.52</v>
          </cell>
          <cell r="D71" t="str">
            <v>3 KG</v>
          </cell>
          <cell r="E71">
            <v>2</v>
          </cell>
          <cell r="F71">
            <v>4</v>
          </cell>
          <cell r="G71">
            <v>2</v>
          </cell>
          <cell r="H71">
            <v>7898966673191</v>
          </cell>
          <cell r="I71">
            <v>37898966673192</v>
          </cell>
          <cell r="J71">
            <v>17898966673198</v>
          </cell>
          <cell r="K71">
            <v>27898966673195</v>
          </cell>
          <cell r="L71" t="str">
            <v>2005.70.00</v>
          </cell>
          <cell r="M71">
            <v>0.12</v>
          </cell>
          <cell r="N71">
            <v>0</v>
          </cell>
          <cell r="O71">
            <v>0</v>
          </cell>
        </row>
        <row r="71">
          <cell r="Q71">
            <v>1</v>
          </cell>
          <cell r="R71" t="str">
            <v>1,65% / 7,6%</v>
          </cell>
          <cell r="S71">
            <v>0</v>
          </cell>
          <cell r="T71" t="str">
            <v>17.092.01</v>
          </cell>
          <cell r="U71">
            <v>12</v>
          </cell>
          <cell r="V71">
            <v>360</v>
          </cell>
          <cell r="W71">
            <v>16</v>
          </cell>
          <cell r="X71">
            <v>19</v>
          </cell>
          <cell r="Y71">
            <v>38</v>
          </cell>
          <cell r="Z71">
            <v>16.5</v>
          </cell>
          <cell r="AA71">
            <v>18.5</v>
          </cell>
          <cell r="AB71">
            <v>18.5</v>
          </cell>
          <cell r="AC71">
            <v>15</v>
          </cell>
          <cell r="AD71">
            <v>7</v>
          </cell>
        </row>
        <row r="72">
          <cell r="A72">
            <v>9734</v>
          </cell>
          <cell r="B72" t="str">
            <v>CHAMPIGNON INTEIRO BALDE 2 KG</v>
          </cell>
          <cell r="C72">
            <v>3.55</v>
          </cell>
          <cell r="D72" t="str">
            <v>3 KG</v>
          </cell>
          <cell r="E72">
            <v>2</v>
          </cell>
          <cell r="F72">
            <v>4</v>
          </cell>
          <cell r="G72">
            <v>2</v>
          </cell>
          <cell r="H72">
            <v>7898647930261</v>
          </cell>
          <cell r="I72">
            <v>37898647930262</v>
          </cell>
          <cell r="J72">
            <v>27898647930265</v>
          </cell>
          <cell r="K72">
            <v>17898647930268</v>
          </cell>
          <cell r="L72" t="str">
            <v>2003.10.00</v>
          </cell>
          <cell r="M72">
            <v>0.12</v>
          </cell>
          <cell r="N72">
            <v>0</v>
          </cell>
          <cell r="O72">
            <v>0</v>
          </cell>
        </row>
        <row r="72">
          <cell r="Q72">
            <v>1</v>
          </cell>
          <cell r="R72" t="str">
            <v>1,65% / 7,6%</v>
          </cell>
          <cell r="S72">
            <v>0</v>
          </cell>
          <cell r="T72">
            <v>0</v>
          </cell>
          <cell r="U72">
            <v>12</v>
          </cell>
          <cell r="V72">
            <v>360</v>
          </cell>
          <cell r="W72">
            <v>16</v>
          </cell>
          <cell r="X72">
            <v>19</v>
          </cell>
          <cell r="Y72">
            <v>38</v>
          </cell>
          <cell r="Z72">
            <v>16.5</v>
          </cell>
          <cell r="AA72">
            <v>18.5</v>
          </cell>
          <cell r="AB72">
            <v>18.5</v>
          </cell>
          <cell r="AC72">
            <v>15</v>
          </cell>
          <cell r="AD72">
            <v>7</v>
          </cell>
        </row>
        <row r="73">
          <cell r="A73">
            <v>9684</v>
          </cell>
          <cell r="B73" t="str">
            <v>CHAMPIGNON FATIADO BALDE 2 KG</v>
          </cell>
          <cell r="C73">
            <v>3.55</v>
          </cell>
          <cell r="D73" t="str">
            <v>3 KG</v>
          </cell>
          <cell r="E73">
            <v>2</v>
          </cell>
          <cell r="F73">
            <v>4</v>
          </cell>
          <cell r="G73">
            <v>2</v>
          </cell>
          <cell r="H73">
            <v>7898647930278</v>
          </cell>
          <cell r="I73">
            <v>37898647930279</v>
          </cell>
          <cell r="J73">
            <v>27898647930272</v>
          </cell>
          <cell r="K73">
            <v>17898647930275</v>
          </cell>
          <cell r="L73" t="str">
            <v>2003.10.00</v>
          </cell>
          <cell r="M73">
            <v>0.12</v>
          </cell>
          <cell r="N73">
            <v>0</v>
          </cell>
          <cell r="O73">
            <v>0</v>
          </cell>
        </row>
        <row r="73">
          <cell r="Q73">
            <v>1</v>
          </cell>
          <cell r="R73" t="str">
            <v>1,65% / 7,6%</v>
          </cell>
          <cell r="S73">
            <v>0</v>
          </cell>
          <cell r="T73">
            <v>0</v>
          </cell>
          <cell r="U73">
            <v>12</v>
          </cell>
          <cell r="V73">
            <v>360</v>
          </cell>
          <cell r="W73">
            <v>16</v>
          </cell>
          <cell r="X73">
            <v>19</v>
          </cell>
          <cell r="Y73">
            <v>38</v>
          </cell>
          <cell r="Z73">
            <v>16.5</v>
          </cell>
          <cell r="AA73">
            <v>18.5</v>
          </cell>
          <cell r="AB73">
            <v>18.5</v>
          </cell>
          <cell r="AC73">
            <v>15</v>
          </cell>
          <cell r="AD73">
            <v>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MV"/>
      <sheetName val="TABELA MÃE"/>
      <sheetName val="VAREJO"/>
      <sheetName val="ATACAREJO"/>
      <sheetName val="ATACADO"/>
      <sheetName val="DISTRIBUIDOR"/>
    </sheetNames>
    <sheetDataSet>
      <sheetData sheetId="0">
        <row r="2">
          <cell r="D2" t="str">
            <v>M. OBRA</v>
          </cell>
          <cell r="E2" t="str">
            <v>VIDRO</v>
          </cell>
          <cell r="F2" t="str">
            <v>TAMPA</v>
          </cell>
          <cell r="G2" t="str">
            <v>PAPELÃO</v>
          </cell>
          <cell r="H2" t="str">
            <v>ROTULO</v>
          </cell>
          <cell r="I2" t="str">
            <v>SAL</v>
          </cell>
          <cell r="J2" t="str">
            <v>ÁCIDO ASCORBICO</v>
          </cell>
          <cell r="K2" t="str">
            <v>ÁCIDO CÍTRICO</v>
          </cell>
          <cell r="L2" t="str">
            <v>PREÇO KG</v>
          </cell>
          <cell r="M2" t="str">
            <v>AZEITONA</v>
          </cell>
        </row>
        <row r="2">
          <cell r="O2" t="str">
            <v>CUSTO UND</v>
          </cell>
        </row>
        <row r="3">
          <cell r="B3">
            <v>9359</v>
          </cell>
          <cell r="C3" t="str">
            <v>AZEITONA GOURMET S/ CAROÇO 400 GR</v>
          </cell>
          <cell r="D3">
            <v>0.2</v>
          </cell>
          <cell r="E3">
            <v>1.38</v>
          </cell>
          <cell r="F3">
            <v>0.616</v>
          </cell>
          <cell r="G3">
            <v>0.1525</v>
          </cell>
          <cell r="H3">
            <v>0.276</v>
          </cell>
          <cell r="I3">
            <v>0.0162712</v>
          </cell>
          <cell r="J3">
            <v>0.007062</v>
          </cell>
          <cell r="K3">
            <v>0.010281</v>
          </cell>
          <cell r="L3">
            <v>17.3</v>
          </cell>
          <cell r="M3">
            <v>6.92</v>
          </cell>
        </row>
        <row r="3">
          <cell r="O3">
            <v>9.5781142</v>
          </cell>
        </row>
        <row r="4">
          <cell r="B4">
            <v>9358</v>
          </cell>
          <cell r="C4" t="str">
            <v>AZEITONA VERDE COM CAROÇO GOURMET 450 GR</v>
          </cell>
          <cell r="D4">
            <v>0.2</v>
          </cell>
          <cell r="E4">
            <v>1.38</v>
          </cell>
          <cell r="F4">
            <v>0.616</v>
          </cell>
          <cell r="G4">
            <v>0.1525</v>
          </cell>
          <cell r="H4">
            <v>0.276</v>
          </cell>
          <cell r="I4">
            <v>0.0162712</v>
          </cell>
          <cell r="J4">
            <v>0.007062</v>
          </cell>
          <cell r="K4">
            <v>0.010281</v>
          </cell>
          <cell r="L4">
            <v>12.68</v>
          </cell>
          <cell r="M4">
            <v>5.706</v>
          </cell>
        </row>
        <row r="4">
          <cell r="O4">
            <v>8.3641142</v>
          </cell>
        </row>
        <row r="5">
          <cell r="B5">
            <v>9656</v>
          </cell>
          <cell r="C5" t="str">
            <v>AZEITONA PRETA COM CAROÇO GOURMET 400 GR</v>
          </cell>
          <cell r="D5">
            <v>0.2</v>
          </cell>
          <cell r="E5">
            <v>1.38</v>
          </cell>
          <cell r="F5">
            <v>0.616</v>
          </cell>
          <cell r="G5">
            <v>0.1525</v>
          </cell>
          <cell r="H5">
            <v>0.276</v>
          </cell>
          <cell r="I5">
            <v>0.0162712</v>
          </cell>
          <cell r="J5">
            <v>0.007062</v>
          </cell>
          <cell r="K5">
            <v>0.010281</v>
          </cell>
          <cell r="L5">
            <v>20.723</v>
          </cell>
          <cell r="M5">
            <v>8.2892</v>
          </cell>
        </row>
        <row r="5">
          <cell r="O5">
            <v>10.9473142</v>
          </cell>
        </row>
        <row r="6">
          <cell r="B6">
            <v>9645</v>
          </cell>
          <cell r="C6" t="str">
            <v>AZEITONA FATIADA 160 GR</v>
          </cell>
          <cell r="D6">
            <v>0.2</v>
          </cell>
          <cell r="E6">
            <v>1.088</v>
          </cell>
          <cell r="F6">
            <v>0.41500004</v>
          </cell>
          <cell r="G6">
            <v>0.1525</v>
          </cell>
          <cell r="H6">
            <v>0.225</v>
          </cell>
          <cell r="I6">
            <v>0.03784</v>
          </cell>
          <cell r="J6">
            <v>0.0168</v>
          </cell>
          <cell r="K6">
            <v>0.02384</v>
          </cell>
          <cell r="L6">
            <v>16.22</v>
          </cell>
          <cell r="M6">
            <v>2.5952</v>
          </cell>
        </row>
        <row r="6">
          <cell r="O6">
            <v>4.75418004</v>
          </cell>
        </row>
        <row r="7">
          <cell r="B7">
            <v>9646</v>
          </cell>
          <cell r="C7" t="str">
            <v>AZEITONA S CAROÇO 160 GR</v>
          </cell>
          <cell r="D7">
            <v>0.2</v>
          </cell>
          <cell r="E7">
            <v>1.088</v>
          </cell>
          <cell r="F7">
            <v>0.41500004</v>
          </cell>
          <cell r="G7">
            <v>0.1525</v>
          </cell>
          <cell r="H7">
            <v>0.0225</v>
          </cell>
          <cell r="I7">
            <v>0.03784</v>
          </cell>
          <cell r="J7">
            <v>0.0168</v>
          </cell>
          <cell r="K7">
            <v>0.02384</v>
          </cell>
          <cell r="L7">
            <v>16.22</v>
          </cell>
          <cell r="M7">
            <v>2.5952</v>
          </cell>
        </row>
        <row r="7">
          <cell r="O7">
            <v>4.55168004</v>
          </cell>
        </row>
        <row r="8">
          <cell r="B8">
            <v>9647</v>
          </cell>
          <cell r="C8" t="str">
            <v>AZEITONA RECHEADA 180 GR</v>
          </cell>
          <cell r="D8">
            <v>0.2</v>
          </cell>
          <cell r="E8">
            <v>1.088</v>
          </cell>
          <cell r="F8">
            <v>0.41500004</v>
          </cell>
          <cell r="G8">
            <v>0.1525</v>
          </cell>
          <cell r="H8">
            <v>0.0225</v>
          </cell>
          <cell r="I8">
            <v>0.03784</v>
          </cell>
          <cell r="J8">
            <v>0.0168</v>
          </cell>
          <cell r="K8">
            <v>0.02384</v>
          </cell>
          <cell r="L8">
            <v>23</v>
          </cell>
          <cell r="M8">
            <v>4.14</v>
          </cell>
        </row>
        <row r="8">
          <cell r="O8">
            <v>6.09648004</v>
          </cell>
        </row>
        <row r="9">
          <cell r="B9">
            <v>9648</v>
          </cell>
          <cell r="C9" t="str">
            <v>AZEITONA C/ CAROÇO 200 GR</v>
          </cell>
          <cell r="D9">
            <v>0.2</v>
          </cell>
          <cell r="E9">
            <v>1.088</v>
          </cell>
          <cell r="F9">
            <v>0.41500004</v>
          </cell>
          <cell r="G9">
            <v>0.1525</v>
          </cell>
          <cell r="H9">
            <v>0.0225</v>
          </cell>
          <cell r="I9">
            <v>0.03784</v>
          </cell>
          <cell r="J9">
            <v>0.0168</v>
          </cell>
          <cell r="K9">
            <v>0.02384</v>
          </cell>
          <cell r="L9">
            <v>9.58</v>
          </cell>
          <cell r="M9">
            <v>1.916</v>
          </cell>
        </row>
        <row r="9">
          <cell r="O9">
            <v>3.87248004</v>
          </cell>
        </row>
        <row r="10">
          <cell r="B10">
            <v>9655</v>
          </cell>
          <cell r="C10" t="str">
            <v>AZEITONA PRETA 200 GR</v>
          </cell>
          <cell r="D10">
            <v>0.2</v>
          </cell>
          <cell r="E10">
            <v>1.088</v>
          </cell>
          <cell r="F10">
            <v>0.41500004</v>
          </cell>
          <cell r="G10">
            <v>0.1525</v>
          </cell>
          <cell r="H10">
            <v>0.0225</v>
          </cell>
          <cell r="I10">
            <v>0.03784</v>
          </cell>
          <cell r="J10">
            <v>0.0168</v>
          </cell>
          <cell r="K10">
            <v>0.02384</v>
          </cell>
          <cell r="L10">
            <v>17.5</v>
          </cell>
          <cell r="M10">
            <v>3.5</v>
          </cell>
        </row>
        <row r="10">
          <cell r="O10">
            <v>5.45648004</v>
          </cell>
        </row>
        <row r="11">
          <cell r="B11">
            <v>9357</v>
          </cell>
          <cell r="C11" t="str">
            <v>AZEITONA C/ CAROÇO 500 GR</v>
          </cell>
          <cell r="D11">
            <v>0.2</v>
          </cell>
          <cell r="E11">
            <v>1.38</v>
          </cell>
          <cell r="F11">
            <v>0.616</v>
          </cell>
          <cell r="G11">
            <v>0.1525</v>
          </cell>
          <cell r="H11">
            <v>0.276</v>
          </cell>
          <cell r="I11">
            <v>0.0162712</v>
          </cell>
          <cell r="J11">
            <v>0.007062</v>
          </cell>
          <cell r="K11">
            <v>0.010281</v>
          </cell>
          <cell r="L11">
            <v>12.03</v>
          </cell>
          <cell r="M11">
            <v>6.015</v>
          </cell>
        </row>
        <row r="11">
          <cell r="O11">
            <v>8.6731142</v>
          </cell>
        </row>
        <row r="12">
          <cell r="B12">
            <v>9358</v>
          </cell>
          <cell r="C12" t="str">
            <v>AZEITONA GOURMET C/ CAROÇO 450 GR</v>
          </cell>
          <cell r="D12">
            <v>0.2</v>
          </cell>
          <cell r="E12">
            <v>1.38</v>
          </cell>
          <cell r="F12">
            <v>0.616</v>
          </cell>
          <cell r="G12">
            <v>0.1525</v>
          </cell>
          <cell r="H12">
            <v>0.276</v>
          </cell>
          <cell r="I12">
            <v>0.0162712</v>
          </cell>
          <cell r="J12">
            <v>0.007062</v>
          </cell>
          <cell r="K12">
            <v>0.010281</v>
          </cell>
          <cell r="L12">
            <v>15.4</v>
          </cell>
          <cell r="M12">
            <v>6.93</v>
          </cell>
        </row>
        <row r="12">
          <cell r="O12">
            <v>9.5881142</v>
          </cell>
        </row>
        <row r="13">
          <cell r="B13">
            <v>9359</v>
          </cell>
          <cell r="C13" t="str">
            <v>AZEITONA GOURMET PRETA 400 GR</v>
          </cell>
          <cell r="D13">
            <v>0.2</v>
          </cell>
          <cell r="E13">
            <v>1.38</v>
          </cell>
          <cell r="F13">
            <v>0.616</v>
          </cell>
          <cell r="G13">
            <v>0.1525</v>
          </cell>
          <cell r="H13">
            <v>0.276</v>
          </cell>
          <cell r="I13">
            <v>0.0162712</v>
          </cell>
          <cell r="J13">
            <v>0.007062</v>
          </cell>
          <cell r="K13">
            <v>0.010281</v>
          </cell>
          <cell r="L13">
            <v>23.2</v>
          </cell>
          <cell r="M13">
            <v>9.28</v>
          </cell>
        </row>
        <row r="13">
          <cell r="O13">
            <v>11.9381142</v>
          </cell>
        </row>
        <row r="14">
          <cell r="B14">
            <v>9657</v>
          </cell>
          <cell r="C14" t="str">
            <v>AZEITONA PRETA SEM CAROÇO GOURMET 400 GR</v>
          </cell>
          <cell r="D14">
            <v>0.2</v>
          </cell>
          <cell r="E14">
            <v>1.38</v>
          </cell>
          <cell r="F14">
            <v>0.616</v>
          </cell>
          <cell r="G14">
            <v>0.1525</v>
          </cell>
          <cell r="H14">
            <v>0.276</v>
          </cell>
          <cell r="I14">
            <v>0.0162712</v>
          </cell>
          <cell r="J14">
            <v>0.007062</v>
          </cell>
          <cell r="K14">
            <v>0.010281</v>
          </cell>
          <cell r="L14">
            <v>18.12</v>
          </cell>
          <cell r="M14">
            <v>7.248</v>
          </cell>
        </row>
        <row r="14">
          <cell r="O14">
            <v>9.9061142</v>
          </cell>
        </row>
        <row r="15">
          <cell r="B15">
            <v>0</v>
          </cell>
          <cell r="C15" t="str">
            <v>AZEITONA PRETA SEM CAROÇO GOURMET 160 GR</v>
          </cell>
          <cell r="D15">
            <v>0.2</v>
          </cell>
          <cell r="E15">
            <v>1.088</v>
          </cell>
          <cell r="F15">
            <v>0.41500004</v>
          </cell>
          <cell r="G15">
            <v>0.1525</v>
          </cell>
          <cell r="H15">
            <v>0.0225</v>
          </cell>
          <cell r="I15">
            <v>0.03784</v>
          </cell>
          <cell r="J15">
            <v>0.0168</v>
          </cell>
          <cell r="K15">
            <v>0.02384</v>
          </cell>
          <cell r="L15">
            <v>18.12</v>
          </cell>
          <cell r="M15">
            <v>2.8992</v>
          </cell>
        </row>
        <row r="15">
          <cell r="O15">
            <v>4.85568004</v>
          </cell>
        </row>
        <row r="16">
          <cell r="B16">
            <v>9653</v>
          </cell>
          <cell r="C16" t="str">
            <v>AZEITONA VERDE COM CAROÇO GOURMET 200 GR</v>
          </cell>
          <cell r="D16">
            <v>0.2</v>
          </cell>
          <cell r="E16">
            <v>1.088</v>
          </cell>
          <cell r="F16">
            <v>0.41500004</v>
          </cell>
          <cell r="G16">
            <v>0.1525</v>
          </cell>
          <cell r="H16">
            <v>0.0225</v>
          </cell>
          <cell r="I16">
            <v>0.03784</v>
          </cell>
          <cell r="J16">
            <v>0.0168</v>
          </cell>
          <cell r="K16">
            <v>0.02384</v>
          </cell>
          <cell r="L16">
            <v>12.68</v>
          </cell>
          <cell r="M16">
            <v>2.536</v>
          </cell>
        </row>
        <row r="16">
          <cell r="O16">
            <v>4.49248004</v>
          </cell>
        </row>
        <row r="17">
          <cell r="B17">
            <v>9654</v>
          </cell>
          <cell r="C17" t="str">
            <v>AZEITONA VERDE SEM CAROÇO GOURMET 160 GR</v>
          </cell>
          <cell r="D17">
            <v>0.2</v>
          </cell>
          <cell r="E17">
            <v>1.088</v>
          </cell>
          <cell r="F17">
            <v>0.41500004</v>
          </cell>
          <cell r="G17">
            <v>0.1525</v>
          </cell>
          <cell r="H17">
            <v>0.0225</v>
          </cell>
          <cell r="I17">
            <v>0.03784</v>
          </cell>
          <cell r="J17">
            <v>0.0168</v>
          </cell>
          <cell r="K17">
            <v>0.02384</v>
          </cell>
          <cell r="L17">
            <v>17.3</v>
          </cell>
          <cell r="M17">
            <v>2.768</v>
          </cell>
        </row>
        <row r="17">
          <cell r="O17">
            <v>4.72448004</v>
          </cell>
        </row>
        <row r="18">
          <cell r="D18" t="str">
            <v>M. OBRA</v>
          </cell>
          <cell r="E18" t="str">
            <v>VIDRO</v>
          </cell>
          <cell r="F18" t="str">
            <v>TAMPA</v>
          </cell>
          <cell r="G18" t="str">
            <v>PAPELÃO</v>
          </cell>
          <cell r="H18" t="str">
            <v>ROTULO</v>
          </cell>
          <cell r="I18" t="str">
            <v>SAL</v>
          </cell>
          <cell r="J18" t="str">
            <v>ACIDO LATICO</v>
          </cell>
          <cell r="K18" t="str">
            <v>BENZOATO DE SODIO</v>
          </cell>
          <cell r="L18" t="str">
            <v>SORBATO DE POTASSIO</v>
          </cell>
          <cell r="M18" t="str">
            <v>PREÇO KG</v>
          </cell>
          <cell r="N18" t="str">
            <v>CHAMPIGNON</v>
          </cell>
          <cell r="O18" t="str">
            <v>CUSTO UND</v>
          </cell>
        </row>
        <row r="19">
          <cell r="B19">
            <v>9651</v>
          </cell>
          <cell r="C19" t="str">
            <v>CHAMPIGNON INTEIRO VIDRO 200 GRS</v>
          </cell>
          <cell r="D19">
            <v>0.2</v>
          </cell>
          <cell r="E19">
            <v>1.088</v>
          </cell>
          <cell r="F19">
            <v>0.41500004</v>
          </cell>
          <cell r="G19">
            <v>0.1525</v>
          </cell>
          <cell r="H19">
            <v>0.0225</v>
          </cell>
          <cell r="I19">
            <v>0.0078948</v>
          </cell>
          <cell r="J19">
            <v>0.00357</v>
          </cell>
          <cell r="K19">
            <v>0.007599</v>
          </cell>
          <cell r="L19">
            <v>0.005712</v>
          </cell>
          <cell r="M19">
            <v>15.78125</v>
          </cell>
          <cell r="N19">
            <v>3.15625</v>
          </cell>
          <cell r="O19">
            <v>5.05902584</v>
          </cell>
        </row>
        <row r="20">
          <cell r="B20">
            <v>9652</v>
          </cell>
          <cell r="C20" t="str">
            <v>CHAMPIGNON FATIADO VIDRO 200 GRS</v>
          </cell>
          <cell r="D20">
            <v>0.2</v>
          </cell>
          <cell r="E20">
            <v>1.088</v>
          </cell>
          <cell r="F20">
            <v>0.41500004</v>
          </cell>
          <cell r="G20">
            <v>0.1525</v>
          </cell>
          <cell r="H20">
            <v>0.0225</v>
          </cell>
          <cell r="I20">
            <v>0.0078948</v>
          </cell>
          <cell r="J20">
            <v>0.00357</v>
          </cell>
          <cell r="K20">
            <v>0.007599</v>
          </cell>
          <cell r="L20">
            <v>0.005712</v>
          </cell>
          <cell r="M20">
            <v>19.4791666666667</v>
          </cell>
          <cell r="N20">
            <v>3.89583333333333</v>
          </cell>
          <cell r="O20">
            <v>5.79860917333333</v>
          </cell>
        </row>
        <row r="22">
          <cell r="D22" t="str">
            <v>M. OBRA</v>
          </cell>
          <cell r="E22" t="str">
            <v>FILME SACHE</v>
          </cell>
          <cell r="F22" t="str">
            <v>PAPELÃO</v>
          </cell>
          <cell r="G22" t="str">
            <v>SAL</v>
          </cell>
          <cell r="H22" t="str">
            <v>ACIDO CITRICO</v>
          </cell>
          <cell r="I22" t="str">
            <v>ACIDO LATICO</v>
          </cell>
          <cell r="J22" t="str">
            <v>BENZOATO DE SODIO</v>
          </cell>
          <cell r="K22" t="str">
            <v>SORBATO DE POTASSIO</v>
          </cell>
          <cell r="L22" t="str">
            <v>PREÇO KG</v>
          </cell>
          <cell r="M22" t="str">
            <v>AZEITONA</v>
          </cell>
        </row>
        <row r="22">
          <cell r="O22" t="str">
            <v>CUSTO UND</v>
          </cell>
        </row>
        <row r="23">
          <cell r="B23">
            <v>9630</v>
          </cell>
          <cell r="C23" t="str">
            <v>AZEITONA C/ CAROÇO 150 GR</v>
          </cell>
          <cell r="D23">
            <v>0.1</v>
          </cell>
          <cell r="E23">
            <v>0.248</v>
          </cell>
          <cell r="F23">
            <v>0.112777777777778</v>
          </cell>
          <cell r="G23">
            <v>0.00477386</v>
          </cell>
          <cell r="H23">
            <v>0.0030992</v>
          </cell>
          <cell r="I23">
            <v>0.00091</v>
          </cell>
          <cell r="J23">
            <v>0.00117</v>
          </cell>
          <cell r="K23">
            <v>0.002184</v>
          </cell>
          <cell r="L23">
            <v>9.58</v>
          </cell>
          <cell r="M23">
            <v>1.46574</v>
          </cell>
        </row>
        <row r="23">
          <cell r="O23">
            <v>1.93865483777778</v>
          </cell>
        </row>
        <row r="24">
          <cell r="B24">
            <v>9565</v>
          </cell>
          <cell r="C24" t="str">
            <v>AZEITONA C/ CAROÇO 50 GR</v>
          </cell>
          <cell r="D24">
            <v>0.1</v>
          </cell>
          <cell r="E24">
            <v>0.186</v>
          </cell>
          <cell r="F24">
            <v>0.0563888888888889</v>
          </cell>
          <cell r="G24">
            <v>0.00477386</v>
          </cell>
          <cell r="H24">
            <v>0.0030992</v>
          </cell>
          <cell r="I24">
            <v>0.00091</v>
          </cell>
          <cell r="J24">
            <v>0.00117</v>
          </cell>
          <cell r="K24">
            <v>0.002184</v>
          </cell>
          <cell r="L24">
            <v>7.32</v>
          </cell>
          <cell r="M24">
            <v>0.38796</v>
          </cell>
        </row>
        <row r="24">
          <cell r="O24">
            <v>0.742485948888889</v>
          </cell>
        </row>
        <row r="25">
          <cell r="B25">
            <v>9360</v>
          </cell>
          <cell r="C25" t="str">
            <v>AZEITONA S/ CAROÇO 120 GR</v>
          </cell>
          <cell r="D25">
            <v>0.1</v>
          </cell>
          <cell r="E25">
            <v>0.248</v>
          </cell>
          <cell r="F25">
            <v>0.112777777777778</v>
          </cell>
          <cell r="G25">
            <v>0.00477386</v>
          </cell>
          <cell r="H25">
            <v>0.0030992</v>
          </cell>
          <cell r="I25">
            <v>0.00091</v>
          </cell>
          <cell r="J25">
            <v>0.00117</v>
          </cell>
          <cell r="K25">
            <v>0.002184</v>
          </cell>
          <cell r="L25">
            <v>16.22</v>
          </cell>
          <cell r="M25">
            <v>1.99506</v>
          </cell>
        </row>
        <row r="25">
          <cell r="O25">
            <v>2.46797483777778</v>
          </cell>
        </row>
        <row r="26">
          <cell r="B26">
            <v>9361</v>
          </cell>
          <cell r="C26" t="str">
            <v>AZEITONA FATIADA 120 GR</v>
          </cell>
          <cell r="D26">
            <v>0.1</v>
          </cell>
          <cell r="E26">
            <v>0.248</v>
          </cell>
          <cell r="F26">
            <v>0.112777777777778</v>
          </cell>
          <cell r="G26">
            <v>0.00477386</v>
          </cell>
          <cell r="H26">
            <v>0.0030992</v>
          </cell>
          <cell r="I26">
            <v>0.00091</v>
          </cell>
          <cell r="J26">
            <v>0.00117</v>
          </cell>
          <cell r="K26">
            <v>0.002184</v>
          </cell>
          <cell r="L26">
            <v>16.22</v>
          </cell>
          <cell r="M26">
            <v>1.99506</v>
          </cell>
        </row>
        <row r="26">
          <cell r="O26">
            <v>2.46797483777778</v>
          </cell>
        </row>
        <row r="27">
          <cell r="B27">
            <v>9663</v>
          </cell>
          <cell r="C27" t="str">
            <v>AZEITONA C/ CAROÇO 80 GR</v>
          </cell>
          <cell r="D27">
            <v>0.1</v>
          </cell>
          <cell r="E27">
            <v>0.217</v>
          </cell>
          <cell r="F27">
            <v>0.0676666666666667</v>
          </cell>
          <cell r="G27">
            <v>0.00348859</v>
          </cell>
          <cell r="H27">
            <v>0.0022648</v>
          </cell>
          <cell r="I27">
            <v>0.000665</v>
          </cell>
          <cell r="J27">
            <v>0.000855</v>
          </cell>
          <cell r="K27">
            <v>0.001596</v>
          </cell>
          <cell r="L27">
            <v>7.32</v>
          </cell>
          <cell r="M27">
            <v>0.60756</v>
          </cell>
        </row>
        <row r="27">
          <cell r="O27">
            <v>1.00109605666667</v>
          </cell>
        </row>
        <row r="28">
          <cell r="B28">
            <v>9665</v>
          </cell>
          <cell r="C28" t="str">
            <v>AZEITONA FATIADA 80 GR</v>
          </cell>
          <cell r="D28">
            <v>0.1</v>
          </cell>
          <cell r="E28">
            <v>0.217</v>
          </cell>
          <cell r="F28">
            <v>0.0676666666666667</v>
          </cell>
          <cell r="G28">
            <v>0.00348859</v>
          </cell>
          <cell r="H28">
            <v>0.0022648</v>
          </cell>
          <cell r="I28">
            <v>0.000665</v>
          </cell>
          <cell r="J28">
            <v>0.000855</v>
          </cell>
          <cell r="K28">
            <v>0.001596</v>
          </cell>
          <cell r="L28">
            <v>16.22</v>
          </cell>
          <cell r="M28">
            <v>1.34626</v>
          </cell>
        </row>
        <row r="28">
          <cell r="O28">
            <v>1.73979605666667</v>
          </cell>
        </row>
        <row r="29">
          <cell r="B29">
            <v>9664</v>
          </cell>
          <cell r="C29" t="str">
            <v>AZEITONA S CAROÇO 80 GR</v>
          </cell>
          <cell r="D29">
            <v>0.1</v>
          </cell>
          <cell r="E29">
            <v>0.217</v>
          </cell>
          <cell r="F29">
            <v>0.0676666666666667</v>
          </cell>
          <cell r="G29">
            <v>0.00348859</v>
          </cell>
          <cell r="H29">
            <v>0.0022648</v>
          </cell>
          <cell r="I29">
            <v>0.000665</v>
          </cell>
          <cell r="J29">
            <v>0.000855</v>
          </cell>
          <cell r="K29">
            <v>0.001596</v>
          </cell>
          <cell r="L29">
            <v>16.22</v>
          </cell>
          <cell r="M29">
            <v>1.34626</v>
          </cell>
        </row>
        <row r="29">
          <cell r="O29">
            <v>1.73979605666667</v>
          </cell>
        </row>
        <row r="30">
          <cell r="B30">
            <v>9667</v>
          </cell>
          <cell r="C30" t="str">
            <v>AZEITONA RECHEADA 120 GR</v>
          </cell>
          <cell r="D30">
            <v>0.1</v>
          </cell>
          <cell r="E30">
            <v>0.248</v>
          </cell>
          <cell r="F30">
            <v>0.0676666666666667</v>
          </cell>
          <cell r="G30">
            <v>0.00348859</v>
          </cell>
          <cell r="H30">
            <v>0.0022648</v>
          </cell>
          <cell r="I30">
            <v>0.000665</v>
          </cell>
          <cell r="J30">
            <v>0.000855</v>
          </cell>
          <cell r="K30">
            <v>0.001596</v>
          </cell>
          <cell r="L30">
            <v>23</v>
          </cell>
          <cell r="M30">
            <v>2.875</v>
          </cell>
        </row>
        <row r="30">
          <cell r="O30">
            <v>3.29953605666667</v>
          </cell>
        </row>
        <row r="31">
          <cell r="B31">
            <v>9663</v>
          </cell>
          <cell r="C31" t="str">
            <v>AZEITONA RECHEADA  80 GR</v>
          </cell>
          <cell r="D31">
            <v>0.1</v>
          </cell>
          <cell r="E31">
            <v>0.217</v>
          </cell>
          <cell r="F31">
            <v>0.0676666666666667</v>
          </cell>
          <cell r="G31">
            <v>0.00348859</v>
          </cell>
          <cell r="H31">
            <v>0.0022648</v>
          </cell>
          <cell r="I31">
            <v>0.000665</v>
          </cell>
          <cell r="J31">
            <v>0.000855</v>
          </cell>
          <cell r="K31">
            <v>0.001596</v>
          </cell>
          <cell r="L31">
            <v>23</v>
          </cell>
          <cell r="M31">
            <v>1.955</v>
          </cell>
        </row>
        <row r="31">
          <cell r="O31">
            <v>2.34853605666667</v>
          </cell>
        </row>
        <row r="32">
          <cell r="B32">
            <v>10057</v>
          </cell>
          <cell r="C32" t="str">
            <v>CHAMPIGNON FATIADO</v>
          </cell>
          <cell r="D32">
            <v>0.1</v>
          </cell>
          <cell r="E32">
            <v>0.217</v>
          </cell>
          <cell r="F32">
            <v>0.0676666666666667</v>
          </cell>
          <cell r="G32">
            <v>0.00348859</v>
          </cell>
          <cell r="H32">
            <v>0.0022648</v>
          </cell>
          <cell r="I32">
            <v>0.000665</v>
          </cell>
          <cell r="J32">
            <v>0.000855</v>
          </cell>
          <cell r="K32">
            <v>0.001596</v>
          </cell>
          <cell r="L32">
            <v>15.78125</v>
          </cell>
          <cell r="M32">
            <v>2.0515625</v>
          </cell>
        </row>
        <row r="32">
          <cell r="O32">
            <v>2.44509855666667</v>
          </cell>
        </row>
        <row r="33">
          <cell r="B33">
            <v>9673</v>
          </cell>
          <cell r="C33" t="str">
            <v>CHAMPIGNON INTEIRO SACHET 100 GR</v>
          </cell>
          <cell r="D33">
            <v>0.1</v>
          </cell>
          <cell r="E33">
            <v>0.217</v>
          </cell>
          <cell r="F33">
            <v>0.0676666666666667</v>
          </cell>
          <cell r="G33">
            <v>0.00348859</v>
          </cell>
          <cell r="H33">
            <v>0.0022648</v>
          </cell>
          <cell r="I33">
            <v>0.000665</v>
          </cell>
          <cell r="J33">
            <v>0.000855</v>
          </cell>
          <cell r="K33">
            <v>0.001596</v>
          </cell>
          <cell r="L33">
            <v>19.4791666666667</v>
          </cell>
          <cell r="M33">
            <v>2.53229166666667</v>
          </cell>
        </row>
        <row r="33">
          <cell r="O33">
            <v>2.92582772333333</v>
          </cell>
        </row>
        <row r="35">
          <cell r="D35" t="str">
            <v>M. OBRA</v>
          </cell>
          <cell r="E35" t="str">
            <v>BALDE</v>
          </cell>
          <cell r="F35" t="str">
            <v>TAMPA</v>
          </cell>
          <cell r="G35" t="str">
            <v>FILM. TERMO</v>
          </cell>
          <cell r="H35" t="str">
            <v>SAL</v>
          </cell>
          <cell r="I35" t="str">
            <v>ACIDO CITRICO</v>
          </cell>
          <cell r="J35" t="str">
            <v>ACIDO LATICO</v>
          </cell>
          <cell r="K35" t="str">
            <v>BENZOATO DE SODIO</v>
          </cell>
          <cell r="L35" t="str">
            <v>SORBATO DE POTASSIO</v>
          </cell>
          <cell r="M35" t="str">
            <v>PREÇO KG</v>
          </cell>
          <cell r="N35" t="str">
            <v>AZEITONA</v>
          </cell>
          <cell r="O35" t="str">
            <v>CUSTO UND</v>
          </cell>
        </row>
        <row r="36">
          <cell r="B36">
            <v>9682</v>
          </cell>
          <cell r="C36" t="str">
            <v>AZEITONA FATIADA 2 KG</v>
          </cell>
          <cell r="D36">
            <v>0.32</v>
          </cell>
          <cell r="E36">
            <v>2.45</v>
          </cell>
          <cell r="F36">
            <v>1.05</v>
          </cell>
          <cell r="G36">
            <v>0.372</v>
          </cell>
          <cell r="H36">
            <v>0.052374</v>
          </cell>
          <cell r="I36">
            <v>0.025032</v>
          </cell>
          <cell r="J36">
            <v>0.00735</v>
          </cell>
          <cell r="K36">
            <v>0.00945</v>
          </cell>
          <cell r="L36">
            <v>0.01764</v>
          </cell>
          <cell r="M36">
            <v>16.22</v>
          </cell>
          <cell r="N36">
            <v>32.44</v>
          </cell>
          <cell r="O36">
            <v>36.743846</v>
          </cell>
        </row>
        <row r="37">
          <cell r="B37">
            <v>9685</v>
          </cell>
          <cell r="C37" t="str">
            <v>AZEITONA S/ CAROÇO 2 KG</v>
          </cell>
          <cell r="D37">
            <v>0.32</v>
          </cell>
          <cell r="E37">
            <v>2.45</v>
          </cell>
          <cell r="F37">
            <v>1.05</v>
          </cell>
          <cell r="G37">
            <v>0.372</v>
          </cell>
          <cell r="H37">
            <v>0.052374</v>
          </cell>
          <cell r="I37">
            <v>0.00735</v>
          </cell>
          <cell r="J37">
            <v>0.00735</v>
          </cell>
          <cell r="K37">
            <v>0.00945</v>
          </cell>
          <cell r="L37">
            <v>0.01764</v>
          </cell>
          <cell r="M37">
            <v>16.22</v>
          </cell>
          <cell r="N37">
            <v>32.44</v>
          </cell>
          <cell r="O37">
            <v>36.726164</v>
          </cell>
        </row>
        <row r="38">
          <cell r="B38">
            <v>9564</v>
          </cell>
          <cell r="C38" t="str">
            <v>AZEITONA MIÚDA 2 KG</v>
          </cell>
          <cell r="D38">
            <v>0.32</v>
          </cell>
          <cell r="E38">
            <v>2.45</v>
          </cell>
          <cell r="F38">
            <v>1.05</v>
          </cell>
          <cell r="G38">
            <v>0.372</v>
          </cell>
          <cell r="H38">
            <v>0.052374</v>
          </cell>
          <cell r="I38">
            <v>0.01764</v>
          </cell>
          <cell r="J38">
            <v>0.00735</v>
          </cell>
          <cell r="K38">
            <v>0.00945</v>
          </cell>
          <cell r="L38">
            <v>0.01764</v>
          </cell>
          <cell r="M38">
            <v>7.32</v>
          </cell>
          <cell r="N38">
            <v>14.64</v>
          </cell>
          <cell r="O38">
            <v>18.936454</v>
          </cell>
        </row>
        <row r="39">
          <cell r="B39">
            <v>9732</v>
          </cell>
          <cell r="C39" t="str">
            <v>AZEITONA RECHEADA 2 KG</v>
          </cell>
          <cell r="D39">
            <v>0.32</v>
          </cell>
          <cell r="E39">
            <v>2.45</v>
          </cell>
          <cell r="F39">
            <v>1.05</v>
          </cell>
          <cell r="G39">
            <v>0.372</v>
          </cell>
          <cell r="H39">
            <v>0.052374</v>
          </cell>
          <cell r="I39">
            <v>0.01764</v>
          </cell>
          <cell r="J39">
            <v>0.00735</v>
          </cell>
          <cell r="K39">
            <v>0.00945</v>
          </cell>
          <cell r="L39">
            <v>0.01764</v>
          </cell>
          <cell r="M39">
            <v>23</v>
          </cell>
          <cell r="N39">
            <v>46</v>
          </cell>
          <cell r="O39">
            <v>50.296454</v>
          </cell>
        </row>
        <row r="40">
          <cell r="B40">
            <v>9688</v>
          </cell>
          <cell r="C40" t="str">
            <v>AZEITONA PRETA C/ CAROÇO 2 KG</v>
          </cell>
          <cell r="D40">
            <v>0.32</v>
          </cell>
          <cell r="E40">
            <v>2.45</v>
          </cell>
          <cell r="F40">
            <v>1.05</v>
          </cell>
          <cell r="G40">
            <v>0.372</v>
          </cell>
          <cell r="H40">
            <v>0.052374</v>
          </cell>
          <cell r="I40">
            <v>0.01764</v>
          </cell>
          <cell r="J40">
            <v>0.00735</v>
          </cell>
          <cell r="K40">
            <v>0.00945</v>
          </cell>
          <cell r="L40">
            <v>0.01764</v>
          </cell>
          <cell r="M40">
            <v>23.25</v>
          </cell>
          <cell r="N40">
            <v>46.5</v>
          </cell>
          <cell r="O40">
            <v>50.796454</v>
          </cell>
        </row>
        <row r="41">
          <cell r="B41">
            <v>9689</v>
          </cell>
          <cell r="C41" t="str">
            <v>AZEITONA GRAUDA 2 KG</v>
          </cell>
          <cell r="D41">
            <v>0.32</v>
          </cell>
          <cell r="E41">
            <v>2.45</v>
          </cell>
          <cell r="F41">
            <v>1.05</v>
          </cell>
          <cell r="G41">
            <v>0.372</v>
          </cell>
          <cell r="H41">
            <v>0.052374</v>
          </cell>
          <cell r="I41">
            <v>0.01764</v>
          </cell>
          <cell r="J41">
            <v>0.00735</v>
          </cell>
          <cell r="K41">
            <v>0.00945</v>
          </cell>
          <cell r="L41">
            <v>0.01764</v>
          </cell>
          <cell r="M41">
            <v>12.68</v>
          </cell>
          <cell r="N41">
            <v>25.36</v>
          </cell>
          <cell r="O41">
            <v>29.656454</v>
          </cell>
        </row>
        <row r="42">
          <cell r="B42">
            <v>9690</v>
          </cell>
          <cell r="C42" t="str">
            <v>AZEITONA MÉDIA 2 KG</v>
          </cell>
          <cell r="D42">
            <v>0.32</v>
          </cell>
          <cell r="E42">
            <v>2.45</v>
          </cell>
          <cell r="F42">
            <v>1.05</v>
          </cell>
          <cell r="G42">
            <v>0.372</v>
          </cell>
          <cell r="H42">
            <v>0.052374</v>
          </cell>
          <cell r="I42">
            <v>0.01764</v>
          </cell>
          <cell r="J42">
            <v>0.00735</v>
          </cell>
          <cell r="K42">
            <v>0.00945</v>
          </cell>
          <cell r="L42">
            <v>0.01764</v>
          </cell>
          <cell r="M42">
            <v>9.58</v>
          </cell>
          <cell r="N42">
            <v>19.16</v>
          </cell>
          <cell r="O42">
            <v>23.456454</v>
          </cell>
        </row>
        <row r="43">
          <cell r="B43">
            <v>9684</v>
          </cell>
          <cell r="C43" t="str">
            <v>CHAMPIGNON FATIADO 2 KG</v>
          </cell>
          <cell r="D43">
            <v>0.32</v>
          </cell>
          <cell r="E43">
            <v>2.45</v>
          </cell>
          <cell r="F43">
            <v>1.05</v>
          </cell>
          <cell r="G43">
            <v>0.372</v>
          </cell>
          <cell r="H43">
            <v>0.052374</v>
          </cell>
          <cell r="I43">
            <v>0.01764</v>
          </cell>
          <cell r="J43">
            <v>0.00735</v>
          </cell>
          <cell r="K43">
            <v>0.00945</v>
          </cell>
          <cell r="L43">
            <v>0.01764</v>
          </cell>
          <cell r="M43">
            <v>15.78125</v>
          </cell>
          <cell r="N43">
            <v>31.5625</v>
          </cell>
          <cell r="O43">
            <v>35.858954</v>
          </cell>
        </row>
        <row r="44">
          <cell r="B44">
            <v>9683</v>
          </cell>
          <cell r="C44" t="str">
            <v>AZ PRETA FATIADA BALDE 2 KG</v>
          </cell>
          <cell r="D44">
            <v>0.32</v>
          </cell>
          <cell r="E44">
            <v>2.45</v>
          </cell>
          <cell r="F44">
            <v>1.05</v>
          </cell>
          <cell r="G44">
            <v>0.372</v>
          </cell>
          <cell r="H44">
            <v>0.052374</v>
          </cell>
          <cell r="I44">
            <v>0.01764</v>
          </cell>
          <cell r="J44">
            <v>0.00735</v>
          </cell>
          <cell r="K44">
            <v>0.00945</v>
          </cell>
          <cell r="L44">
            <v>0.01764</v>
          </cell>
          <cell r="M44">
            <v>18.12</v>
          </cell>
          <cell r="N44">
            <v>36.24</v>
          </cell>
          <cell r="O44">
            <v>40.536454</v>
          </cell>
        </row>
        <row r="45">
          <cell r="B45">
            <v>9686</v>
          </cell>
          <cell r="C45" t="str">
            <v>AZ PRETA SEM CAROÇO BALDE 2 KG</v>
          </cell>
          <cell r="D45">
            <v>0.32</v>
          </cell>
          <cell r="E45">
            <v>2.45</v>
          </cell>
          <cell r="F45">
            <v>1.05</v>
          </cell>
          <cell r="G45">
            <v>0.372</v>
          </cell>
          <cell r="H45">
            <v>0.052374</v>
          </cell>
          <cell r="I45">
            <v>0.01764</v>
          </cell>
          <cell r="J45">
            <v>0.00735</v>
          </cell>
          <cell r="K45">
            <v>0.00945</v>
          </cell>
          <cell r="L45">
            <v>0.01764</v>
          </cell>
          <cell r="M45">
            <v>18.12</v>
          </cell>
          <cell r="N45">
            <v>36.24</v>
          </cell>
          <cell r="O45">
            <v>40.536454</v>
          </cell>
        </row>
        <row r="46">
          <cell r="B46">
            <v>9734</v>
          </cell>
          <cell r="C46" t="str">
            <v>CHAMPIGNON INTEIRO BALDE 2 KG</v>
          </cell>
          <cell r="D46">
            <v>0.32</v>
          </cell>
          <cell r="E46">
            <v>2.45</v>
          </cell>
          <cell r="F46">
            <v>1.05</v>
          </cell>
          <cell r="G46">
            <v>0.372</v>
          </cell>
          <cell r="H46">
            <v>0.052374</v>
          </cell>
          <cell r="I46">
            <v>0.01764</v>
          </cell>
          <cell r="J46">
            <v>0.00735</v>
          </cell>
          <cell r="K46">
            <v>0.00945</v>
          </cell>
          <cell r="L46">
            <v>0.01764</v>
          </cell>
          <cell r="M46">
            <v>19.674</v>
          </cell>
          <cell r="N46">
            <v>39.348</v>
          </cell>
          <cell r="O46">
            <v>43.644454</v>
          </cell>
        </row>
        <row r="49">
          <cell r="C49" t="str">
            <v>PRODUTO</v>
          </cell>
        </row>
        <row r="49">
          <cell r="E49" t="str">
            <v>M. OBRA</v>
          </cell>
          <cell r="F49" t="str">
            <v>FILME</v>
          </cell>
          <cell r="G49" t="str">
            <v>SAL</v>
          </cell>
          <cell r="H49" t="str">
            <v>ACIDO CITRICO</v>
          </cell>
          <cell r="I49" t="str">
            <v>ACIDO LATICO</v>
          </cell>
          <cell r="J49" t="str">
            <v>BENZOATO DE SODIO</v>
          </cell>
          <cell r="K49" t="str">
            <v>SORBATO DE POTASSIO</v>
          </cell>
          <cell r="L49" t="str">
            <v>PREÇO KG</v>
          </cell>
          <cell r="M49" t="str">
            <v>azeitona</v>
          </cell>
        </row>
        <row r="49">
          <cell r="O49" t="str">
            <v>CUSTO UND</v>
          </cell>
        </row>
        <row r="50">
          <cell r="B50">
            <v>9674</v>
          </cell>
          <cell r="C50" t="str">
            <v>AZEITONA VERDE  FATIADA SACHET 1,010 KG</v>
          </cell>
        </row>
        <row r="50">
          <cell r="E50">
            <v>0.32</v>
          </cell>
          <cell r="F50">
            <v>0.7056</v>
          </cell>
          <cell r="G50">
            <v>0.036722</v>
          </cell>
          <cell r="H50">
            <v>0.02384</v>
          </cell>
          <cell r="I50">
            <v>0.007</v>
          </cell>
          <cell r="J50">
            <v>0.009</v>
          </cell>
          <cell r="K50">
            <v>0.0168</v>
          </cell>
          <cell r="L50">
            <v>16.22</v>
          </cell>
          <cell r="M50">
            <v>16.3822</v>
          </cell>
        </row>
        <row r="50">
          <cell r="O50">
            <v>17.501162</v>
          </cell>
        </row>
        <row r="51">
          <cell r="B51">
            <v>9675</v>
          </cell>
          <cell r="C51" t="str">
            <v>AZEITONA VERDE  S/ CAROÇO SACHET 1,010 KG</v>
          </cell>
        </row>
        <row r="51">
          <cell r="E51">
            <v>0.32</v>
          </cell>
          <cell r="F51">
            <v>0.7056</v>
          </cell>
          <cell r="G51">
            <v>0.036722</v>
          </cell>
          <cell r="H51">
            <v>0.02384</v>
          </cell>
          <cell r="I51">
            <v>0.007</v>
          </cell>
          <cell r="J51">
            <v>0.009</v>
          </cell>
          <cell r="K51">
            <v>0.0168</v>
          </cell>
          <cell r="L51">
            <v>16.22</v>
          </cell>
          <cell r="M51">
            <v>16.3822</v>
          </cell>
        </row>
        <row r="51">
          <cell r="O51">
            <v>17.501162</v>
          </cell>
        </row>
        <row r="52">
          <cell r="B52">
            <v>9678</v>
          </cell>
          <cell r="C52" t="str">
            <v>AZEITONA VERDE MEDIA SACHET 1,010 KG</v>
          </cell>
        </row>
        <row r="52">
          <cell r="E52">
            <v>0.32</v>
          </cell>
          <cell r="F52">
            <v>0.7056</v>
          </cell>
          <cell r="G52">
            <v>0.036722</v>
          </cell>
          <cell r="H52">
            <v>0.02384</v>
          </cell>
          <cell r="I52">
            <v>0.007</v>
          </cell>
          <cell r="J52">
            <v>0.009</v>
          </cell>
          <cell r="K52">
            <v>0.0168</v>
          </cell>
          <cell r="L52">
            <v>9.58</v>
          </cell>
          <cell r="M52">
            <v>9.6758</v>
          </cell>
        </row>
        <row r="52">
          <cell r="O52">
            <v>10.794762</v>
          </cell>
        </row>
        <row r="53">
          <cell r="B53">
            <v>9679</v>
          </cell>
          <cell r="C53" t="str">
            <v>AZEITONA VERDE MIUDA SACHET 1,010 KG</v>
          </cell>
        </row>
        <row r="53">
          <cell r="E53">
            <v>0.32</v>
          </cell>
          <cell r="F53">
            <v>0.7056</v>
          </cell>
          <cell r="G53">
            <v>0.036722</v>
          </cell>
          <cell r="H53">
            <v>0.02384</v>
          </cell>
          <cell r="I53">
            <v>0.007</v>
          </cell>
          <cell r="J53">
            <v>0.009</v>
          </cell>
          <cell r="K53">
            <v>0.0168</v>
          </cell>
          <cell r="L53">
            <v>7.32</v>
          </cell>
          <cell r="M53">
            <v>7.3932</v>
          </cell>
        </row>
        <row r="53">
          <cell r="O53">
            <v>8.512162</v>
          </cell>
        </row>
        <row r="54">
          <cell r="B54">
            <v>9680</v>
          </cell>
          <cell r="C54" t="str">
            <v>CHAMPIGNON INTEIRO SACHET 1,010 KG</v>
          </cell>
        </row>
        <row r="54">
          <cell r="E54">
            <v>0.32</v>
          </cell>
          <cell r="F54">
            <v>0.7056</v>
          </cell>
          <cell r="G54">
            <v>0.036722</v>
          </cell>
          <cell r="H54">
            <v>0.02384</v>
          </cell>
          <cell r="I54">
            <v>0.007</v>
          </cell>
          <cell r="J54">
            <v>0.009</v>
          </cell>
          <cell r="K54">
            <v>0.0168</v>
          </cell>
          <cell r="L54">
            <v>19.4791666666667</v>
          </cell>
          <cell r="M54">
            <v>19.6739583333333</v>
          </cell>
        </row>
        <row r="54">
          <cell r="O54">
            <v>20.7929203333333</v>
          </cell>
        </row>
        <row r="55">
          <cell r="B55">
            <v>9681</v>
          </cell>
          <cell r="C55" t="str">
            <v>CHAMPIGNON FATIADO SACHET 1,010 KG</v>
          </cell>
        </row>
        <row r="55">
          <cell r="E55">
            <v>0.32</v>
          </cell>
          <cell r="F55">
            <v>0.7056</v>
          </cell>
          <cell r="G55">
            <v>0.036722</v>
          </cell>
          <cell r="H55">
            <v>0.02384</v>
          </cell>
          <cell r="I55">
            <v>0.007</v>
          </cell>
          <cell r="J55">
            <v>0.009</v>
          </cell>
          <cell r="K55">
            <v>0.0168</v>
          </cell>
          <cell r="L55">
            <v>15.78125</v>
          </cell>
          <cell r="M55">
            <v>15.9390625</v>
          </cell>
        </row>
        <row r="55">
          <cell r="O55">
            <v>17.0580245</v>
          </cell>
        </row>
        <row r="56">
          <cell r="B56">
            <v>9669</v>
          </cell>
          <cell r="C56" t="str">
            <v>AZEITONA VERDE COM CAROÇO SACHET 400 GR</v>
          </cell>
        </row>
        <row r="56">
          <cell r="E56">
            <v>0.32</v>
          </cell>
          <cell r="F56">
            <v>0.71</v>
          </cell>
          <cell r="G56">
            <v>0.0161218536556</v>
          </cell>
          <cell r="H56">
            <v>0.01046634146356</v>
          </cell>
          <cell r="I56">
            <v>0.0030731707314</v>
          </cell>
          <cell r="J56">
            <v>0.003951219513</v>
          </cell>
          <cell r="K56">
            <v>0.00737560975536</v>
          </cell>
          <cell r="L56">
            <v>9.58</v>
          </cell>
          <cell r="M56">
            <v>3.832</v>
          </cell>
        </row>
        <row r="56">
          <cell r="O56">
            <v>4.90298819511892</v>
          </cell>
        </row>
        <row r="57">
          <cell r="B57">
            <v>9677</v>
          </cell>
          <cell r="C57" t="str">
            <v>AZEITONA VERDE GRAUDA SACHET 1,010 KG</v>
          </cell>
        </row>
        <row r="57">
          <cell r="E57">
            <v>0.32</v>
          </cell>
          <cell r="F57">
            <v>0.71</v>
          </cell>
          <cell r="G57">
            <v>0.0161218536556</v>
          </cell>
          <cell r="H57">
            <v>0.01046634146356</v>
          </cell>
          <cell r="I57">
            <v>0.0030731707314</v>
          </cell>
          <cell r="J57">
            <v>0.003951219513</v>
          </cell>
          <cell r="K57">
            <v>0.00737560975536</v>
          </cell>
          <cell r="L57">
            <v>12.68</v>
          </cell>
          <cell r="M57">
            <v>12.8068</v>
          </cell>
        </row>
        <row r="57">
          <cell r="O57">
            <v>13.8777881951189</v>
          </cell>
        </row>
        <row r="60">
          <cell r="C60" t="str">
            <v>PRODUTO</v>
          </cell>
        </row>
        <row r="60">
          <cell r="E60" t="str">
            <v>FILME</v>
          </cell>
          <cell r="F60" t="str">
            <v>CAIXA</v>
          </cell>
          <cell r="G60" t="str">
            <v>PREÇO KG</v>
          </cell>
          <cell r="H60" t="str">
            <v>QUEIJO</v>
          </cell>
        </row>
        <row r="60">
          <cell r="O60" t="str">
            <v>CUSTO UND</v>
          </cell>
        </row>
        <row r="61">
          <cell r="B61">
            <v>9627</v>
          </cell>
          <cell r="C61" t="str">
            <v>QUEIJO PARMESÃO RALADO FINO SACHET 40 GR</v>
          </cell>
        </row>
        <row r="61">
          <cell r="E61">
            <v>0.0855</v>
          </cell>
          <cell r="F61">
            <v>0.032</v>
          </cell>
          <cell r="G61">
            <v>35</v>
          </cell>
          <cell r="H61">
            <v>1.4</v>
          </cell>
        </row>
        <row r="61">
          <cell r="O61">
            <v>1.5175</v>
          </cell>
        </row>
        <row r="62">
          <cell r="B62">
            <v>9628</v>
          </cell>
          <cell r="C62" t="str">
            <v>QUEIJO PARMESÃO RALADO FIAPO  SACHET 40 GR</v>
          </cell>
        </row>
        <row r="62">
          <cell r="E62">
            <v>0.0855</v>
          </cell>
          <cell r="F62">
            <v>0.032</v>
          </cell>
          <cell r="G62">
            <v>59</v>
          </cell>
          <cell r="H62">
            <v>2.36</v>
          </cell>
        </row>
        <row r="62">
          <cell r="O62">
            <v>2.4775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RODUTOS ATIVOS"/>
      <sheetName val="INATIVOS NÃO UTILIZAR"/>
      <sheetName val="BALDES FD 2"/>
    </sheetNames>
    <sheetDataSet>
      <sheetData sheetId="0">
        <row r="1">
          <cell r="A1" t="str">
            <v>CARACTERÍSTICAS TÉCNICAS DOS PRODUTOS</v>
          </cell>
        </row>
        <row r="3">
          <cell r="A3" t="str">
            <v>CÓD</v>
          </cell>
        </row>
        <row r="3">
          <cell r="C3" t="str">
            <v>DESCRIÇÃO DO PRODUTO</v>
          </cell>
          <cell r="D3" t="str">
            <v>PESO</v>
          </cell>
          <cell r="E3" t="str">
            <v>PESO</v>
          </cell>
          <cell r="F3" t="str">
            <v>PESO</v>
          </cell>
          <cell r="G3" t="str">
            <v>PESO</v>
          </cell>
          <cell r="H3" t="str">
            <v>QTDE NA
CAIXA</v>
          </cell>
          <cell r="I3" t="str">
            <v>CÓDIGO DE BARRAS</v>
          </cell>
        </row>
        <row r="3">
          <cell r="M3" t="str">
            <v>NCM</v>
          </cell>
          <cell r="N3" t="str">
            <v>ALIQ.
ICMS</v>
          </cell>
          <cell r="O3" t="str">
            <v>REDUÇÃO
ICMS</v>
          </cell>
          <cell r="P3" t="str">
            <v>IPI</v>
          </cell>
          <cell r="Q3" t="str">
            <v>% IVA
MVA</v>
          </cell>
          <cell r="R3" t="str">
            <v>CST</v>
          </cell>
          <cell r="S3" t="str">
            <v>PIS/ COFINS</v>
          </cell>
          <cell r="T3" t="str">
            <v>CST</v>
          </cell>
          <cell r="U3" t="str">
            <v>CEST</v>
          </cell>
          <cell r="V3" t="str">
            <v>VALIDADE
EM MESES</v>
          </cell>
          <cell r="W3" t="str">
            <v>VALIDADE
EM DIAS</v>
          </cell>
          <cell r="X3" t="str">
            <v>DIMENSÕES EMBAL. (CX-CM)</v>
          </cell>
        </row>
        <row r="3">
          <cell r="AA3" t="str">
            <v>DIMENSÕES EMBAL. (UND-CM)</v>
          </cell>
        </row>
        <row r="3">
          <cell r="AD3" t="str">
            <v>PALETIZAÇÃO</v>
          </cell>
        </row>
        <row r="4">
          <cell r="D4" t="str">
            <v>BRUTO UN.</v>
          </cell>
          <cell r="E4" t="str">
            <v>LIQUIDO UN.</v>
          </cell>
          <cell r="F4" t="str">
            <v>DRENADO UN.</v>
          </cell>
          <cell r="G4" t="str">
            <v>DRENADO CX.</v>
          </cell>
        </row>
        <row r="4">
          <cell r="I4" t="str">
            <v>EAN 13
UNIDADE</v>
          </cell>
          <cell r="J4" t="str">
            <v>DUN 14
CAIXA</v>
          </cell>
        </row>
        <row r="4">
          <cell r="M4" t="str">
            <v>Fiscal</v>
          </cell>
        </row>
        <row r="4">
          <cell r="R4" t="str">
            <v>PIS/COFINS</v>
          </cell>
        </row>
        <row r="4">
          <cell r="T4" t="str">
            <v>ICMS</v>
          </cell>
        </row>
        <row r="4">
          <cell r="X4" t="str">
            <v>ALT</v>
          </cell>
          <cell r="Y4" t="str">
            <v>LARG</v>
          </cell>
          <cell r="Z4" t="str">
            <v>COMP</v>
          </cell>
          <cell r="AA4" t="str">
            <v>ALT</v>
          </cell>
          <cell r="AB4" t="str">
            <v>LARG</v>
          </cell>
          <cell r="AC4" t="str">
            <v>COMP</v>
          </cell>
          <cell r="AD4" t="str">
            <v>BASE</v>
          </cell>
          <cell r="AE4" t="str">
            <v>ALTURA</v>
          </cell>
        </row>
        <row r="6">
          <cell r="A6" t="str">
            <v>LINHA QUEIJOS</v>
          </cell>
        </row>
        <row r="7">
          <cell r="A7">
            <v>1001</v>
          </cell>
          <cell r="B7">
            <v>9627</v>
          </cell>
          <cell r="C7" t="str">
            <v>QUEIJO PARMESÃO RALADO FINO SACHET 40 GR</v>
          </cell>
          <cell r="D7">
            <v>0.054</v>
          </cell>
          <cell r="E7">
            <v>0.04</v>
          </cell>
          <cell r="F7">
            <v>0.04</v>
          </cell>
          <cell r="G7">
            <v>1</v>
          </cell>
          <cell r="H7">
            <v>25</v>
          </cell>
          <cell r="I7">
            <v>7898647930018</v>
          </cell>
          <cell r="J7">
            <v>17898647930015</v>
          </cell>
        </row>
        <row r="7">
          <cell r="M7" t="str">
            <v>0406.20.00</v>
          </cell>
          <cell r="N7">
            <v>0.12</v>
          </cell>
          <cell r="O7">
            <v>0</v>
          </cell>
          <cell r="P7">
            <v>0</v>
          </cell>
        </row>
        <row r="7">
          <cell r="R7">
            <v>6</v>
          </cell>
          <cell r="S7">
            <v>0</v>
          </cell>
          <cell r="T7">
            <v>0</v>
          </cell>
          <cell r="U7" t="str">
            <v>17.024.00</v>
          </cell>
          <cell r="V7">
            <v>6</v>
          </cell>
          <cell r="W7">
            <v>180</v>
          </cell>
          <cell r="X7">
            <v>13.5</v>
          </cell>
          <cell r="Y7">
            <v>31</v>
          </cell>
          <cell r="Z7">
            <v>11</v>
          </cell>
          <cell r="AA7">
            <v>14</v>
          </cell>
          <cell r="AB7">
            <v>9.5</v>
          </cell>
          <cell r="AC7">
            <v>2</v>
          </cell>
          <cell r="AD7">
            <v>33</v>
          </cell>
          <cell r="AE7">
            <v>9</v>
          </cell>
        </row>
        <row r="8">
          <cell r="A8">
            <v>1002</v>
          </cell>
          <cell r="B8">
            <v>9628</v>
          </cell>
          <cell r="C8" t="str">
            <v>QUEIJO PARMESÃO RALADO FIAPO  SACHET 40 GR</v>
          </cell>
          <cell r="D8">
            <v>0.054</v>
          </cell>
          <cell r="E8">
            <v>0.04</v>
          </cell>
          <cell r="F8">
            <v>0.04</v>
          </cell>
          <cell r="G8">
            <v>1</v>
          </cell>
          <cell r="H8">
            <v>25</v>
          </cell>
          <cell r="I8">
            <v>7898647930025</v>
          </cell>
          <cell r="J8">
            <v>17898647930022</v>
          </cell>
        </row>
        <row r="8">
          <cell r="M8" t="str">
            <v>0406.20.00</v>
          </cell>
          <cell r="N8">
            <v>0.12</v>
          </cell>
          <cell r="O8">
            <v>0</v>
          </cell>
          <cell r="P8">
            <v>0</v>
          </cell>
        </row>
        <row r="8">
          <cell r="R8">
            <v>6</v>
          </cell>
          <cell r="S8">
            <v>0</v>
          </cell>
          <cell r="T8">
            <v>0</v>
          </cell>
          <cell r="U8" t="str">
            <v>17.024.00</v>
          </cell>
          <cell r="V8">
            <v>6</v>
          </cell>
          <cell r="W8">
            <v>180</v>
          </cell>
          <cell r="X8">
            <v>17.5</v>
          </cell>
          <cell r="Y8">
            <v>31</v>
          </cell>
          <cell r="Z8">
            <v>11</v>
          </cell>
          <cell r="AA8">
            <v>14</v>
          </cell>
          <cell r="AB8">
            <v>9.5</v>
          </cell>
          <cell r="AC8">
            <v>2</v>
          </cell>
          <cell r="AD8">
            <v>30</v>
          </cell>
          <cell r="AE8">
            <v>6</v>
          </cell>
        </row>
        <row r="9">
          <cell r="A9">
            <v>1010</v>
          </cell>
          <cell r="B9">
            <v>9627</v>
          </cell>
          <cell r="C9" t="str">
            <v>QUEIJO PARMESÃO RALADO FINO SACHET 40 GR</v>
          </cell>
          <cell r="D9">
            <v>0.054</v>
          </cell>
          <cell r="E9">
            <v>0.04</v>
          </cell>
          <cell r="F9">
            <v>0.04</v>
          </cell>
          <cell r="G9">
            <v>10</v>
          </cell>
          <cell r="H9">
            <v>250</v>
          </cell>
          <cell r="I9">
            <v>7898647930018</v>
          </cell>
          <cell r="J9">
            <v>27898647930012</v>
          </cell>
        </row>
        <row r="9">
          <cell r="M9" t="str">
            <v>0406.20.00</v>
          </cell>
          <cell r="N9">
            <v>0.12</v>
          </cell>
          <cell r="O9">
            <v>0</v>
          </cell>
          <cell r="P9">
            <v>0</v>
          </cell>
        </row>
        <row r="9">
          <cell r="R9">
            <v>6</v>
          </cell>
          <cell r="S9">
            <v>0</v>
          </cell>
          <cell r="T9">
            <v>0</v>
          </cell>
          <cell r="U9" t="str">
            <v>17.024.00</v>
          </cell>
          <cell r="V9">
            <v>6</v>
          </cell>
          <cell r="W9">
            <v>180</v>
          </cell>
          <cell r="X9">
            <v>25</v>
          </cell>
          <cell r="Y9">
            <v>27.5</v>
          </cell>
          <cell r="Z9">
            <v>37</v>
          </cell>
          <cell r="AA9">
            <v>14</v>
          </cell>
          <cell r="AB9">
            <v>9.5</v>
          </cell>
          <cell r="AC9">
            <v>2</v>
          </cell>
          <cell r="AD9">
            <v>10</v>
          </cell>
          <cell r="AE9">
            <v>4</v>
          </cell>
        </row>
        <row r="10">
          <cell r="A10">
            <v>1020</v>
          </cell>
          <cell r="B10">
            <v>9628</v>
          </cell>
          <cell r="C10" t="str">
            <v>QUEIJO PARMESÃO RALADO FIAPO  SACHET 40 GR</v>
          </cell>
          <cell r="D10">
            <v>0.054</v>
          </cell>
          <cell r="E10">
            <v>0.04</v>
          </cell>
          <cell r="F10">
            <v>0.04</v>
          </cell>
          <cell r="G10">
            <v>10</v>
          </cell>
          <cell r="H10">
            <v>250</v>
          </cell>
          <cell r="I10">
            <v>7898647930025</v>
          </cell>
          <cell r="J10">
            <v>27898647930029</v>
          </cell>
        </row>
        <row r="10">
          <cell r="M10" t="str">
            <v>0406.20.00</v>
          </cell>
          <cell r="N10">
            <v>0.12</v>
          </cell>
          <cell r="O10">
            <v>0</v>
          </cell>
          <cell r="P10">
            <v>0</v>
          </cell>
        </row>
        <row r="10">
          <cell r="R10">
            <v>6</v>
          </cell>
          <cell r="S10">
            <v>0</v>
          </cell>
          <cell r="T10">
            <v>0</v>
          </cell>
          <cell r="U10" t="str">
            <v>17.024.00</v>
          </cell>
          <cell r="V10">
            <v>6</v>
          </cell>
          <cell r="W10">
            <v>180</v>
          </cell>
          <cell r="X10">
            <v>25</v>
          </cell>
          <cell r="Y10">
            <v>27.5</v>
          </cell>
          <cell r="Z10">
            <v>37</v>
          </cell>
          <cell r="AA10">
            <v>14</v>
          </cell>
          <cell r="AB10">
            <v>9.5</v>
          </cell>
          <cell r="AC10">
            <v>2</v>
          </cell>
          <cell r="AD10">
            <v>10</v>
          </cell>
          <cell r="AE10">
            <v>4</v>
          </cell>
        </row>
        <row r="11">
          <cell r="A11">
            <v>1040</v>
          </cell>
          <cell r="B11">
            <v>9643</v>
          </cell>
          <cell r="C11" t="str">
            <v>QUEIJO PARMESÃO RALADO FINO SACHET 400 GR</v>
          </cell>
          <cell r="D11">
            <v>0.54</v>
          </cell>
          <cell r="E11">
            <v>0.4</v>
          </cell>
          <cell r="F11">
            <v>0.4</v>
          </cell>
        </row>
        <row r="11">
          <cell r="I11">
            <v>7898647930902</v>
          </cell>
        </row>
        <row r="11">
          <cell r="M11" t="str">
            <v>0406.20.00</v>
          </cell>
          <cell r="N11">
            <v>0.12</v>
          </cell>
          <cell r="O11">
            <v>0</v>
          </cell>
          <cell r="P11">
            <v>0</v>
          </cell>
        </row>
        <row r="11">
          <cell r="R11">
            <v>6</v>
          </cell>
          <cell r="S11">
            <v>0</v>
          </cell>
          <cell r="T11">
            <v>0</v>
          </cell>
          <cell r="U11" t="str">
            <v>17.024.00</v>
          </cell>
          <cell r="V11">
            <v>6</v>
          </cell>
          <cell r="W11">
            <v>180</v>
          </cell>
          <cell r="X11">
            <v>25</v>
          </cell>
          <cell r="Y11">
            <v>27.5</v>
          </cell>
          <cell r="Z11">
            <v>37</v>
          </cell>
          <cell r="AA11">
            <v>29</v>
          </cell>
          <cell r="AB11">
            <v>10</v>
          </cell>
          <cell r="AC11">
            <v>2</v>
          </cell>
          <cell r="AD11">
            <v>10</v>
          </cell>
          <cell r="AE11">
            <v>4</v>
          </cell>
        </row>
        <row r="12">
          <cell r="A12">
            <v>1080</v>
          </cell>
          <cell r="B12">
            <v>9644</v>
          </cell>
          <cell r="C12" t="str">
            <v>QUEIJO PARMESÃO RALADO FINO SACHET 800 GR</v>
          </cell>
          <cell r="D12">
            <v>1.08</v>
          </cell>
          <cell r="E12">
            <v>0.8</v>
          </cell>
          <cell r="F12">
            <v>0.8</v>
          </cell>
        </row>
        <row r="12">
          <cell r="I12">
            <v>7898647930919</v>
          </cell>
        </row>
        <row r="12">
          <cell r="M12" t="str">
            <v>0406.20.00</v>
          </cell>
          <cell r="N12">
            <v>0.12</v>
          </cell>
          <cell r="O12">
            <v>0</v>
          </cell>
          <cell r="P12">
            <v>0</v>
          </cell>
        </row>
        <row r="12">
          <cell r="R12">
            <v>6</v>
          </cell>
          <cell r="S12">
            <v>0</v>
          </cell>
          <cell r="T12">
            <v>0</v>
          </cell>
          <cell r="U12" t="str">
            <v>17.024.00</v>
          </cell>
          <cell r="V12">
            <v>6</v>
          </cell>
          <cell r="W12">
            <v>180</v>
          </cell>
          <cell r="X12">
            <v>25</v>
          </cell>
          <cell r="Y12">
            <v>27.5</v>
          </cell>
          <cell r="Z12">
            <v>37</v>
          </cell>
          <cell r="AA12">
            <v>32</v>
          </cell>
          <cell r="AB12">
            <v>22</v>
          </cell>
          <cell r="AC12">
            <v>2</v>
          </cell>
          <cell r="AD12">
            <v>10</v>
          </cell>
          <cell r="AE12">
            <v>4</v>
          </cell>
        </row>
        <row r="13">
          <cell r="A13" t="str">
            <v>LINHA AZEITONAS VIDRO</v>
          </cell>
        </row>
        <row r="14">
          <cell r="A14">
            <v>2001</v>
          </cell>
          <cell r="B14">
            <v>9645</v>
          </cell>
          <cell r="C14" t="str">
            <v>AZEITONA VERDE FATIADA VIDRO 160 GR</v>
          </cell>
          <cell r="D14">
            <v>0.56</v>
          </cell>
          <cell r="E14" t="str">
            <v>345 GR</v>
          </cell>
          <cell r="F14">
            <v>0.16</v>
          </cell>
          <cell r="G14">
            <v>1.92</v>
          </cell>
          <cell r="H14">
            <v>12</v>
          </cell>
          <cell r="I14">
            <v>7898647930032</v>
          </cell>
          <cell r="J14">
            <v>17898647930039</v>
          </cell>
        </row>
        <row r="14">
          <cell r="M14" t="str">
            <v>2005.70.00</v>
          </cell>
          <cell r="N14">
            <v>0.12</v>
          </cell>
          <cell r="O14">
            <v>0</v>
          </cell>
          <cell r="P14">
            <v>0</v>
          </cell>
          <cell r="Q14">
            <v>0.6088</v>
          </cell>
          <cell r="R14">
            <v>1</v>
          </cell>
          <cell r="S14" t="str">
            <v>1,65% / 7,6%</v>
          </cell>
          <cell r="T14">
            <v>0</v>
          </cell>
          <cell r="U14" t="str">
            <v>17.092.00</v>
          </cell>
          <cell r="V14">
            <v>24.24</v>
          </cell>
          <cell r="W14">
            <v>720</v>
          </cell>
          <cell r="X14">
            <v>16.5</v>
          </cell>
          <cell r="Y14">
            <v>20</v>
          </cell>
          <cell r="Z14">
            <v>26</v>
          </cell>
          <cell r="AA14">
            <v>16.5</v>
          </cell>
          <cell r="AB14">
            <v>6.5</v>
          </cell>
          <cell r="AC14">
            <v>6.5</v>
          </cell>
          <cell r="AD14">
            <v>22</v>
          </cell>
          <cell r="AE14">
            <v>7</v>
          </cell>
        </row>
        <row r="15">
          <cell r="A15">
            <v>2002</v>
          </cell>
          <cell r="B15">
            <v>9646</v>
          </cell>
          <cell r="C15" t="str">
            <v>AZEITONA VERDE SEM CAROÇO VIDRO 160 GR</v>
          </cell>
          <cell r="D15">
            <v>0.56</v>
          </cell>
          <cell r="E15" t="str">
            <v>345 GR</v>
          </cell>
          <cell r="F15">
            <v>0.16</v>
          </cell>
          <cell r="G15">
            <v>1.92</v>
          </cell>
          <cell r="H15">
            <v>12</v>
          </cell>
          <cell r="I15">
            <v>7898647930049</v>
          </cell>
          <cell r="J15">
            <v>17898647930046</v>
          </cell>
        </row>
        <row r="15">
          <cell r="M15" t="str">
            <v>2005.70.00</v>
          </cell>
          <cell r="N15">
            <v>0.12</v>
          </cell>
          <cell r="O15">
            <v>0</v>
          </cell>
          <cell r="P15">
            <v>0</v>
          </cell>
          <cell r="Q15">
            <v>0.6088</v>
          </cell>
          <cell r="R15">
            <v>1</v>
          </cell>
          <cell r="S15" t="str">
            <v>1,65% / 7,6%</v>
          </cell>
          <cell r="T15">
            <v>0</v>
          </cell>
          <cell r="U15" t="str">
            <v>17.092.00</v>
          </cell>
          <cell r="V15">
            <v>24</v>
          </cell>
          <cell r="W15">
            <v>720</v>
          </cell>
          <cell r="X15">
            <v>16.5</v>
          </cell>
          <cell r="Y15">
            <v>20</v>
          </cell>
          <cell r="Z15">
            <v>26</v>
          </cell>
          <cell r="AA15">
            <v>16.5</v>
          </cell>
          <cell r="AB15">
            <v>6.5</v>
          </cell>
          <cell r="AC15">
            <v>6.5</v>
          </cell>
          <cell r="AD15">
            <v>22</v>
          </cell>
          <cell r="AE15">
            <v>7</v>
          </cell>
        </row>
        <row r="16">
          <cell r="A16">
            <v>2003</v>
          </cell>
          <cell r="B16">
            <v>9647</v>
          </cell>
          <cell r="C16" t="str">
            <v>AZEITONA VERDE RECHEADA VIDRO 180 GR</v>
          </cell>
          <cell r="D16">
            <v>0.59</v>
          </cell>
          <cell r="E16" t="str">
            <v>345 GR</v>
          </cell>
          <cell r="F16">
            <v>0.18</v>
          </cell>
          <cell r="G16">
            <v>2.16</v>
          </cell>
          <cell r="H16">
            <v>12</v>
          </cell>
          <cell r="I16">
            <v>7898647930056</v>
          </cell>
          <cell r="J16">
            <v>17898647930053</v>
          </cell>
        </row>
        <row r="16">
          <cell r="M16" t="str">
            <v>2005.70.00</v>
          </cell>
          <cell r="N16">
            <v>0.12</v>
          </cell>
          <cell r="O16">
            <v>0</v>
          </cell>
          <cell r="P16">
            <v>0</v>
          </cell>
          <cell r="Q16">
            <v>0.6088</v>
          </cell>
          <cell r="R16">
            <v>1</v>
          </cell>
          <cell r="S16" t="str">
            <v>1,65% / 7,6%</v>
          </cell>
          <cell r="T16">
            <v>0</v>
          </cell>
          <cell r="U16" t="str">
            <v>17.092.00</v>
          </cell>
          <cell r="V16">
            <v>24</v>
          </cell>
          <cell r="W16">
            <v>720</v>
          </cell>
          <cell r="X16">
            <v>16.5</v>
          </cell>
          <cell r="Y16">
            <v>20</v>
          </cell>
          <cell r="Z16">
            <v>26</v>
          </cell>
          <cell r="AA16">
            <v>16.5</v>
          </cell>
          <cell r="AB16">
            <v>6.5</v>
          </cell>
          <cell r="AC16">
            <v>6.5</v>
          </cell>
          <cell r="AD16">
            <v>22</v>
          </cell>
          <cell r="AE16">
            <v>7</v>
          </cell>
        </row>
        <row r="17">
          <cell r="A17">
            <v>2004</v>
          </cell>
          <cell r="B17">
            <v>9648</v>
          </cell>
          <cell r="C17" t="str">
            <v>AZEITONA VERDE  COM CAROÇO VIDRO 200 GR</v>
          </cell>
          <cell r="D17">
            <v>0.59</v>
          </cell>
          <cell r="E17" t="str">
            <v>345 GR</v>
          </cell>
          <cell r="F17">
            <v>0.2</v>
          </cell>
          <cell r="G17">
            <v>2.4</v>
          </cell>
          <cell r="H17">
            <v>12</v>
          </cell>
          <cell r="I17">
            <v>7898647930063</v>
          </cell>
          <cell r="J17">
            <v>17898647930060</v>
          </cell>
        </row>
        <row r="17">
          <cell r="M17" t="str">
            <v>2005.70.00</v>
          </cell>
          <cell r="N17">
            <v>0.12</v>
          </cell>
          <cell r="O17">
            <v>0</v>
          </cell>
          <cell r="P17">
            <v>0</v>
          </cell>
          <cell r="Q17">
            <v>0.6088</v>
          </cell>
          <cell r="R17">
            <v>1</v>
          </cell>
          <cell r="S17" t="str">
            <v>1,65% / 7,6%</v>
          </cell>
          <cell r="T17">
            <v>0</v>
          </cell>
          <cell r="U17" t="str">
            <v>17.092.00</v>
          </cell>
          <cell r="V17">
            <v>24</v>
          </cell>
          <cell r="W17">
            <v>720</v>
          </cell>
          <cell r="X17">
            <v>16.5</v>
          </cell>
          <cell r="Y17">
            <v>20</v>
          </cell>
          <cell r="Z17">
            <v>26</v>
          </cell>
          <cell r="AA17">
            <v>16.5</v>
          </cell>
          <cell r="AB17">
            <v>6.5</v>
          </cell>
          <cell r="AC17">
            <v>6.5</v>
          </cell>
          <cell r="AD17">
            <v>22</v>
          </cell>
          <cell r="AE17">
            <v>7</v>
          </cell>
        </row>
        <row r="18">
          <cell r="A18">
            <v>2018</v>
          </cell>
          <cell r="B18">
            <v>9649</v>
          </cell>
          <cell r="C18" t="str">
            <v>AZEITONA PRETA PORTUGUESINHA C/ CAROÇO 200 GR</v>
          </cell>
          <cell r="D18">
            <v>0.58</v>
          </cell>
          <cell r="E18" t="str">
            <v>345 GR</v>
          </cell>
          <cell r="F18">
            <v>0.2</v>
          </cell>
          <cell r="G18">
            <v>2.4</v>
          </cell>
          <cell r="H18">
            <v>12</v>
          </cell>
          <cell r="I18">
            <v>7898647930827</v>
          </cell>
          <cell r="J18">
            <v>17898647930824</v>
          </cell>
        </row>
        <row r="18">
          <cell r="M18" t="str">
            <v>2005.70.00</v>
          </cell>
          <cell r="N18">
            <v>0.12</v>
          </cell>
          <cell r="O18">
            <v>0</v>
          </cell>
          <cell r="P18">
            <v>0</v>
          </cell>
        </row>
        <row r="18">
          <cell r="R18">
            <v>1</v>
          </cell>
          <cell r="S18" t="str">
            <v>1,65%/7,6%</v>
          </cell>
          <cell r="T18">
            <v>0</v>
          </cell>
          <cell r="U18" t="str">
            <v>17.092.00</v>
          </cell>
          <cell r="V18">
            <v>24</v>
          </cell>
          <cell r="W18">
            <v>720</v>
          </cell>
          <cell r="X18">
            <v>16.5</v>
          </cell>
          <cell r="Y18">
            <v>20</v>
          </cell>
          <cell r="Z18">
            <v>26</v>
          </cell>
          <cell r="AA18">
            <v>16.5</v>
          </cell>
          <cell r="AB18">
            <v>6.5</v>
          </cell>
          <cell r="AC18">
            <v>6.5</v>
          </cell>
          <cell r="AD18">
            <v>22</v>
          </cell>
          <cell r="AE18">
            <v>7</v>
          </cell>
        </row>
        <row r="19">
          <cell r="A19">
            <v>2023</v>
          </cell>
          <cell r="B19">
            <v>9650</v>
          </cell>
          <cell r="C19" t="str">
            <v>PIMENTA BIQUINHO VIDRO 200 GR</v>
          </cell>
          <cell r="D19">
            <v>0.58</v>
          </cell>
          <cell r="E19" t="str">
            <v>300 GR</v>
          </cell>
          <cell r="F19">
            <v>0.2</v>
          </cell>
          <cell r="G19">
            <v>2.4</v>
          </cell>
          <cell r="H19">
            <v>12</v>
          </cell>
          <cell r="I19">
            <v>7898966673146</v>
          </cell>
          <cell r="J19">
            <v>17898966673143</v>
          </cell>
        </row>
        <row r="19">
          <cell r="M19" t="str">
            <v>2001.90.00</v>
          </cell>
          <cell r="N19">
            <v>0.12</v>
          </cell>
          <cell r="O19">
            <v>0</v>
          </cell>
          <cell r="P19">
            <v>0</v>
          </cell>
        </row>
        <row r="19">
          <cell r="R19">
            <v>1</v>
          </cell>
          <cell r="S19" t="str">
            <v>1,65% / 7,6%</v>
          </cell>
          <cell r="T19">
            <v>0</v>
          </cell>
          <cell r="U19" t="str">
            <v>17.090.00</v>
          </cell>
          <cell r="V19">
            <v>24</v>
          </cell>
          <cell r="W19">
            <v>720</v>
          </cell>
          <cell r="X19">
            <v>16.5</v>
          </cell>
          <cell r="Y19">
            <v>20</v>
          </cell>
          <cell r="Z19">
            <v>26</v>
          </cell>
          <cell r="AA19">
            <v>16.5</v>
          </cell>
          <cell r="AB19">
            <v>6.5</v>
          </cell>
          <cell r="AC19">
            <v>6.5</v>
          </cell>
          <cell r="AD19">
            <v>22</v>
          </cell>
          <cell r="AE19">
            <v>7</v>
          </cell>
        </row>
        <row r="20">
          <cell r="B20" t="e">
            <v>#VALUE!</v>
          </cell>
          <cell r="C20" t="str">
            <v>CEBOLINHA VIDRO 200 GRS</v>
          </cell>
          <cell r="D20">
            <v>0.59</v>
          </cell>
          <cell r="E20" t="str">
            <v>360 GR</v>
          </cell>
          <cell r="F20">
            <v>0.2</v>
          </cell>
          <cell r="G20">
            <v>2.4</v>
          </cell>
          <cell r="H20">
            <v>12</v>
          </cell>
          <cell r="I20">
            <v>7898966673184</v>
          </cell>
          <cell r="J20">
            <v>17898966673181</v>
          </cell>
        </row>
        <row r="20">
          <cell r="M20" t="str">
            <v>2001.90.00</v>
          </cell>
          <cell r="N20">
            <v>0.12</v>
          </cell>
          <cell r="O20">
            <v>0</v>
          </cell>
          <cell r="P20">
            <v>0</v>
          </cell>
        </row>
        <row r="20">
          <cell r="R20">
            <v>1</v>
          </cell>
          <cell r="S20" t="str">
            <v>1,65% / 7,6%</v>
          </cell>
          <cell r="T20">
            <v>0</v>
          </cell>
          <cell r="U20" t="str">
            <v>17.090.00</v>
          </cell>
          <cell r="V20">
            <v>24</v>
          </cell>
          <cell r="W20">
            <v>720</v>
          </cell>
          <cell r="X20">
            <v>16.5</v>
          </cell>
          <cell r="Y20">
            <v>20</v>
          </cell>
          <cell r="Z20">
            <v>26</v>
          </cell>
          <cell r="AA20">
            <v>16.5</v>
          </cell>
          <cell r="AB20">
            <v>6.5</v>
          </cell>
          <cell r="AC20">
            <v>6.5</v>
          </cell>
          <cell r="AD20">
            <v>22</v>
          </cell>
          <cell r="AE20">
            <v>7</v>
          </cell>
        </row>
        <row r="21">
          <cell r="A21">
            <v>2031</v>
          </cell>
          <cell r="B21">
            <v>9651</v>
          </cell>
          <cell r="C21" t="str">
            <v>CHAMPIGNON INTEIRO VIDRO 200 GRS</v>
          </cell>
          <cell r="D21">
            <v>0.575</v>
          </cell>
          <cell r="E21" t="str">
            <v>345 GR</v>
          </cell>
          <cell r="F21">
            <v>0.2</v>
          </cell>
          <cell r="G21">
            <v>2.4</v>
          </cell>
          <cell r="H21">
            <v>12</v>
          </cell>
          <cell r="I21">
            <v>7898966673153</v>
          </cell>
          <cell r="J21">
            <v>17898966673150</v>
          </cell>
        </row>
        <row r="21">
          <cell r="M21" t="str">
            <v>2003.10.00</v>
          </cell>
          <cell r="N21">
            <v>0.12</v>
          </cell>
          <cell r="O21">
            <v>0</v>
          </cell>
          <cell r="P21">
            <v>0</v>
          </cell>
        </row>
        <row r="21">
          <cell r="R21">
            <v>1</v>
          </cell>
          <cell r="S21" t="str">
            <v>1,65% / 7,6%</v>
          </cell>
          <cell r="T21">
            <v>0</v>
          </cell>
          <cell r="U21">
            <v>0</v>
          </cell>
          <cell r="V21">
            <v>24</v>
          </cell>
          <cell r="W21">
            <v>720</v>
          </cell>
          <cell r="X21">
            <v>16.5</v>
          </cell>
          <cell r="Y21">
            <v>20</v>
          </cell>
          <cell r="Z21">
            <v>26</v>
          </cell>
          <cell r="AA21">
            <v>16.5</v>
          </cell>
          <cell r="AB21">
            <v>6.5</v>
          </cell>
          <cell r="AC21">
            <v>6.5</v>
          </cell>
          <cell r="AD21">
            <v>22</v>
          </cell>
          <cell r="AE21">
            <v>7</v>
          </cell>
        </row>
        <row r="22">
          <cell r="A22">
            <v>2032</v>
          </cell>
          <cell r="B22">
            <v>9652</v>
          </cell>
          <cell r="C22" t="str">
            <v>CHAMPIGNON FATIADO VIDRO 200 GRS</v>
          </cell>
          <cell r="D22">
            <v>0.58</v>
          </cell>
          <cell r="E22" t="str">
            <v>345 GR</v>
          </cell>
          <cell r="F22">
            <v>0.2</v>
          </cell>
          <cell r="G22">
            <v>2.4</v>
          </cell>
          <cell r="H22">
            <v>12</v>
          </cell>
          <cell r="I22">
            <v>7898966673160</v>
          </cell>
          <cell r="J22">
            <v>17898966673167</v>
          </cell>
        </row>
        <row r="22">
          <cell r="M22" t="str">
            <v>2003.10.00</v>
          </cell>
          <cell r="N22">
            <v>0.12</v>
          </cell>
          <cell r="O22">
            <v>0</v>
          </cell>
          <cell r="P22">
            <v>0</v>
          </cell>
        </row>
        <row r="22">
          <cell r="R22">
            <v>1</v>
          </cell>
          <cell r="S22" t="str">
            <v>1,65% / 7,6%</v>
          </cell>
          <cell r="T22">
            <v>0</v>
          </cell>
          <cell r="U22">
            <v>0</v>
          </cell>
          <cell r="V22">
            <v>24</v>
          </cell>
          <cell r="W22">
            <v>720</v>
          </cell>
          <cell r="X22">
            <v>16.5</v>
          </cell>
          <cell r="Y22">
            <v>20</v>
          </cell>
          <cell r="Z22">
            <v>26</v>
          </cell>
          <cell r="AA22">
            <v>16.5</v>
          </cell>
          <cell r="AB22">
            <v>6.5</v>
          </cell>
          <cell r="AC22">
            <v>6.5</v>
          </cell>
          <cell r="AD22">
            <v>22</v>
          </cell>
          <cell r="AE22">
            <v>7</v>
          </cell>
        </row>
        <row r="23">
          <cell r="A23">
            <v>2005</v>
          </cell>
          <cell r="B23">
            <v>9357</v>
          </cell>
          <cell r="C23" t="str">
            <v>AZEITONA VERDE COM CAROÇO VIDRO 500 GR</v>
          </cell>
          <cell r="D23">
            <v>1.237</v>
          </cell>
          <cell r="E23" t="str">
            <v>850 GR</v>
          </cell>
          <cell r="F23">
            <v>0.5</v>
          </cell>
          <cell r="G23">
            <v>6</v>
          </cell>
          <cell r="H23">
            <v>12</v>
          </cell>
          <cell r="I23">
            <v>7898647930070</v>
          </cell>
          <cell r="J23">
            <v>17898647930077</v>
          </cell>
        </row>
        <row r="23">
          <cell r="M23" t="str">
            <v>2005.70.00</v>
          </cell>
          <cell r="N23">
            <v>0.12</v>
          </cell>
          <cell r="O23">
            <v>0</v>
          </cell>
          <cell r="P23">
            <v>0</v>
          </cell>
        </row>
        <row r="23">
          <cell r="R23">
            <v>1</v>
          </cell>
          <cell r="S23" t="str">
            <v>1,65% / 7,6%</v>
          </cell>
          <cell r="T23">
            <v>0</v>
          </cell>
          <cell r="U23" t="str">
            <v>17.092.00</v>
          </cell>
          <cell r="V23">
            <v>24</v>
          </cell>
          <cell r="W23">
            <v>720</v>
          </cell>
          <cell r="X23">
            <v>18.2</v>
          </cell>
          <cell r="Y23">
            <v>28</v>
          </cell>
          <cell r="Z23">
            <v>36.5</v>
          </cell>
          <cell r="AA23">
            <v>16.5</v>
          </cell>
          <cell r="AB23">
            <v>9.5</v>
          </cell>
          <cell r="AC23">
            <v>9.5</v>
          </cell>
          <cell r="AD23">
            <v>10</v>
          </cell>
          <cell r="AE23">
            <v>7</v>
          </cell>
        </row>
        <row r="24">
          <cell r="A24">
            <v>2021</v>
          </cell>
          <cell r="B24">
            <v>9358</v>
          </cell>
          <cell r="C24" t="str">
            <v>AZEITONA VERDE COM CAROÇO GOURMET 450 GR</v>
          </cell>
          <cell r="D24">
            <v>1.228</v>
          </cell>
          <cell r="E24" t="str">
            <v>820 GR</v>
          </cell>
          <cell r="F24">
            <v>0.45</v>
          </cell>
          <cell r="G24">
            <v>5.4</v>
          </cell>
          <cell r="H24">
            <v>12</v>
          </cell>
          <cell r="I24">
            <v>7898966673009</v>
          </cell>
          <cell r="J24">
            <v>17898966673013</v>
          </cell>
        </row>
        <row r="24">
          <cell r="M24" t="str">
            <v>2005.70.00</v>
          </cell>
          <cell r="N24">
            <v>0.12</v>
          </cell>
          <cell r="O24">
            <v>0</v>
          </cell>
          <cell r="P24">
            <v>0</v>
          </cell>
        </row>
        <row r="24">
          <cell r="R24">
            <v>1</v>
          </cell>
          <cell r="S24" t="str">
            <v>1,65% / 7,6%</v>
          </cell>
          <cell r="T24">
            <v>0</v>
          </cell>
          <cell r="U24" t="str">
            <v>17.092.00</v>
          </cell>
          <cell r="V24">
            <v>24</v>
          </cell>
          <cell r="W24">
            <v>720</v>
          </cell>
          <cell r="X24">
            <v>18.2</v>
          </cell>
          <cell r="Y24">
            <v>28</v>
          </cell>
          <cell r="Z24">
            <v>36.5</v>
          </cell>
          <cell r="AA24">
            <v>16.5</v>
          </cell>
          <cell r="AB24">
            <v>9.5</v>
          </cell>
          <cell r="AC24">
            <v>9.5</v>
          </cell>
          <cell r="AD24">
            <v>10</v>
          </cell>
          <cell r="AE24">
            <v>7</v>
          </cell>
        </row>
        <row r="25">
          <cell r="A25">
            <v>2030</v>
          </cell>
          <cell r="B25">
            <v>9653</v>
          </cell>
          <cell r="C25" t="str">
            <v>AZEITONA VERDE COM CAROÇO GOURMET 200 GR</v>
          </cell>
          <cell r="D25">
            <v>0.58</v>
          </cell>
          <cell r="E25" t="str">
            <v>345 GR</v>
          </cell>
          <cell r="F25">
            <v>0.2</v>
          </cell>
          <cell r="G25">
            <v>2.4</v>
          </cell>
          <cell r="H25">
            <v>12</v>
          </cell>
          <cell r="I25">
            <v>7898647930865</v>
          </cell>
          <cell r="J25">
            <v>17898647930862</v>
          </cell>
        </row>
        <row r="25">
          <cell r="M25" t="str">
            <v>2005.70.00</v>
          </cell>
          <cell r="N25">
            <v>0.12</v>
          </cell>
          <cell r="O25">
            <v>0</v>
          </cell>
          <cell r="P25">
            <v>0</v>
          </cell>
        </row>
        <row r="25">
          <cell r="R25">
            <v>1</v>
          </cell>
          <cell r="S25" t="str">
            <v>1,65% / 7,6%</v>
          </cell>
          <cell r="T25">
            <v>0</v>
          </cell>
          <cell r="U25" t="str">
            <v>17.092.00</v>
          </cell>
          <cell r="V25">
            <v>24</v>
          </cell>
          <cell r="W25">
            <v>720</v>
          </cell>
          <cell r="X25">
            <v>16.5</v>
          </cell>
          <cell r="Y25">
            <v>20</v>
          </cell>
          <cell r="Z25">
            <v>26</v>
          </cell>
          <cell r="AA25">
            <v>16.5</v>
          </cell>
          <cell r="AB25">
            <v>6.5</v>
          </cell>
          <cell r="AC25">
            <v>6.5</v>
          </cell>
          <cell r="AD25">
            <v>22</v>
          </cell>
          <cell r="AE25">
            <v>7</v>
          </cell>
        </row>
        <row r="26">
          <cell r="A26">
            <v>2022</v>
          </cell>
          <cell r="B26">
            <v>9359</v>
          </cell>
          <cell r="C26" t="str">
            <v>AZEITONA VERDE SEM CAROÇO GOURMET 400 GR</v>
          </cell>
          <cell r="D26">
            <v>1.199</v>
          </cell>
          <cell r="E26" t="str">
            <v>820 GR</v>
          </cell>
          <cell r="F26">
            <v>0.4</v>
          </cell>
          <cell r="G26">
            <v>4.8</v>
          </cell>
          <cell r="H26">
            <v>12</v>
          </cell>
          <cell r="I26">
            <v>7898966673023</v>
          </cell>
          <cell r="J26">
            <v>17898966673020</v>
          </cell>
        </row>
        <row r="26">
          <cell r="M26" t="str">
            <v>2005.70.00</v>
          </cell>
          <cell r="N26">
            <v>0.12</v>
          </cell>
          <cell r="O26">
            <v>0</v>
          </cell>
          <cell r="P26">
            <v>0</v>
          </cell>
        </row>
        <row r="26">
          <cell r="R26">
            <v>1</v>
          </cell>
          <cell r="S26" t="str">
            <v>1,65% / 7,6%</v>
          </cell>
          <cell r="T26">
            <v>0</v>
          </cell>
          <cell r="U26" t="str">
            <v>17.092.00</v>
          </cell>
          <cell r="V26">
            <v>24</v>
          </cell>
          <cell r="W26">
            <v>720</v>
          </cell>
          <cell r="X26">
            <v>18.2</v>
          </cell>
          <cell r="Y26">
            <v>28</v>
          </cell>
          <cell r="Z26">
            <v>36.5</v>
          </cell>
          <cell r="AA26">
            <v>16.5</v>
          </cell>
          <cell r="AB26">
            <v>9.5</v>
          </cell>
          <cell r="AC26">
            <v>9.5</v>
          </cell>
          <cell r="AD26">
            <v>10</v>
          </cell>
          <cell r="AE26">
            <v>7</v>
          </cell>
        </row>
        <row r="27">
          <cell r="A27">
            <v>2029</v>
          </cell>
          <cell r="B27">
            <v>9654</v>
          </cell>
          <cell r="C27" t="str">
            <v>AZEITONA VERDE SEM CAROÇO GOURMET 160 GR</v>
          </cell>
          <cell r="D27">
            <v>0.56</v>
          </cell>
          <cell r="E27" t="str">
            <v>345 GR</v>
          </cell>
          <cell r="F27">
            <v>0.16</v>
          </cell>
          <cell r="G27">
            <v>1.92</v>
          </cell>
          <cell r="H27">
            <v>12</v>
          </cell>
          <cell r="I27">
            <v>7898647930872</v>
          </cell>
          <cell r="J27">
            <v>17898647930879</v>
          </cell>
        </row>
        <row r="27">
          <cell r="M27" t="str">
            <v>2005.70.00</v>
          </cell>
          <cell r="N27">
            <v>0.12</v>
          </cell>
          <cell r="O27">
            <v>0</v>
          </cell>
          <cell r="P27">
            <v>0</v>
          </cell>
        </row>
        <row r="27">
          <cell r="R27">
            <v>1</v>
          </cell>
          <cell r="S27" t="str">
            <v>1,65% / 7,6%</v>
          </cell>
          <cell r="T27">
            <v>0</v>
          </cell>
          <cell r="U27" t="str">
            <v>17.092.00</v>
          </cell>
          <cell r="V27">
            <v>24</v>
          </cell>
          <cell r="W27">
            <v>720</v>
          </cell>
          <cell r="X27">
            <v>16.5</v>
          </cell>
          <cell r="Y27">
            <v>20</v>
          </cell>
          <cell r="Z27">
            <v>26</v>
          </cell>
          <cell r="AA27">
            <v>16.5</v>
          </cell>
          <cell r="AB27">
            <v>6.5</v>
          </cell>
          <cell r="AC27">
            <v>6.5</v>
          </cell>
          <cell r="AD27">
            <v>22</v>
          </cell>
          <cell r="AE27">
            <v>7</v>
          </cell>
        </row>
        <row r="28">
          <cell r="A28">
            <v>2024</v>
          </cell>
          <cell r="B28">
            <v>9656</v>
          </cell>
          <cell r="C28" t="str">
            <v>AZEITONA PRETA COM CAROÇO GOURMET 400 GR</v>
          </cell>
          <cell r="D28">
            <v>1.199</v>
          </cell>
          <cell r="E28" t="str">
            <v>820 GR</v>
          </cell>
          <cell r="F28">
            <v>0.4</v>
          </cell>
          <cell r="G28">
            <v>4.8</v>
          </cell>
          <cell r="H28">
            <v>12</v>
          </cell>
          <cell r="I28">
            <v>7898647930001</v>
          </cell>
          <cell r="J28">
            <v>17898647930008</v>
          </cell>
        </row>
        <row r="28">
          <cell r="M28" t="str">
            <v>2005.70.00</v>
          </cell>
          <cell r="N28">
            <v>0.12</v>
          </cell>
          <cell r="O28">
            <v>0</v>
          </cell>
          <cell r="P28">
            <v>0</v>
          </cell>
        </row>
        <row r="28">
          <cell r="R28">
            <v>1</v>
          </cell>
          <cell r="S28" t="str">
            <v>1,65%/ 7,6%</v>
          </cell>
          <cell r="T28">
            <v>0</v>
          </cell>
          <cell r="U28" t="str">
            <v>17.092.00</v>
          </cell>
          <cell r="V28">
            <v>24</v>
          </cell>
          <cell r="W28">
            <v>720</v>
          </cell>
          <cell r="X28">
            <v>18.2</v>
          </cell>
          <cell r="Y28">
            <v>28</v>
          </cell>
          <cell r="Z28">
            <v>36.5</v>
          </cell>
          <cell r="AA28">
            <v>16.5</v>
          </cell>
          <cell r="AB28">
            <v>9.5</v>
          </cell>
          <cell r="AC28">
            <v>9.5</v>
          </cell>
          <cell r="AD28">
            <v>10</v>
          </cell>
          <cell r="AE28">
            <v>7</v>
          </cell>
        </row>
        <row r="29">
          <cell r="A29">
            <v>2017</v>
          </cell>
          <cell r="B29">
            <v>9655</v>
          </cell>
          <cell r="C29" t="str">
            <v>AZEITONA PRETA C/ CAROÇO GOURMET 200 GR</v>
          </cell>
          <cell r="D29">
            <v>0.58</v>
          </cell>
          <cell r="E29" t="str">
            <v>345 GR</v>
          </cell>
          <cell r="F29">
            <v>0.2</v>
          </cell>
          <cell r="G29">
            <v>2.4</v>
          </cell>
          <cell r="H29">
            <v>12</v>
          </cell>
          <cell r="I29">
            <v>7898647930711</v>
          </cell>
          <cell r="J29">
            <v>17898647930718</v>
          </cell>
        </row>
        <row r="29">
          <cell r="M29" t="str">
            <v>2005.70.00</v>
          </cell>
          <cell r="N29">
            <v>0.12</v>
          </cell>
          <cell r="O29">
            <v>0</v>
          </cell>
          <cell r="P29">
            <v>0</v>
          </cell>
          <cell r="Q29">
            <v>0.6088</v>
          </cell>
          <cell r="R29">
            <v>1</v>
          </cell>
          <cell r="S29" t="str">
            <v>1,65% / 7,6%</v>
          </cell>
          <cell r="T29">
            <v>0</v>
          </cell>
          <cell r="U29" t="str">
            <v>17.092.00</v>
          </cell>
          <cell r="V29">
            <v>24</v>
          </cell>
          <cell r="W29">
            <v>720</v>
          </cell>
          <cell r="X29">
            <v>16.5</v>
          </cell>
          <cell r="Y29">
            <v>20</v>
          </cell>
          <cell r="Z29">
            <v>26</v>
          </cell>
          <cell r="AA29">
            <v>16.5</v>
          </cell>
          <cell r="AB29">
            <v>6.5</v>
          </cell>
          <cell r="AC29">
            <v>6.5</v>
          </cell>
          <cell r="AD29">
            <v>22</v>
          </cell>
          <cell r="AE29">
            <v>7</v>
          </cell>
        </row>
        <row r="30">
          <cell r="A30">
            <v>2033</v>
          </cell>
          <cell r="B30">
            <v>9657</v>
          </cell>
          <cell r="C30" t="str">
            <v>AZEITONA PRETA SEM CAROÇO GOURMET 400 GR</v>
          </cell>
          <cell r="D30">
            <v>1.199</v>
          </cell>
          <cell r="E30" t="str">
            <v>820 GR</v>
          </cell>
          <cell r="F30">
            <v>0.4</v>
          </cell>
          <cell r="G30">
            <v>4.8</v>
          </cell>
          <cell r="H30">
            <v>12</v>
          </cell>
          <cell r="I30">
            <v>7898647930896</v>
          </cell>
          <cell r="J30">
            <v>17898647930893</v>
          </cell>
        </row>
        <row r="30">
          <cell r="M30" t="str">
            <v>2005.70.00</v>
          </cell>
          <cell r="N30">
            <v>0.12</v>
          </cell>
          <cell r="O30">
            <v>0</v>
          </cell>
          <cell r="P30">
            <v>0</v>
          </cell>
        </row>
        <row r="30">
          <cell r="R30">
            <v>1</v>
          </cell>
          <cell r="S30" t="str">
            <v>1,65%/ 7,6%</v>
          </cell>
          <cell r="T30">
            <v>0</v>
          </cell>
          <cell r="U30" t="str">
            <v>17.092.00</v>
          </cell>
          <cell r="V30">
            <v>24</v>
          </cell>
          <cell r="W30">
            <v>720</v>
          </cell>
          <cell r="X30">
            <v>18.2</v>
          </cell>
          <cell r="Y30">
            <v>28</v>
          </cell>
          <cell r="Z30">
            <v>36.5</v>
          </cell>
          <cell r="AA30">
            <v>16.5</v>
          </cell>
          <cell r="AB30">
            <v>9.5</v>
          </cell>
          <cell r="AC30">
            <v>9.5</v>
          </cell>
          <cell r="AD30">
            <v>10</v>
          </cell>
          <cell r="AE30">
            <v>7</v>
          </cell>
        </row>
        <row r="31">
          <cell r="A31">
            <v>2034</v>
          </cell>
        </row>
        <row r="31">
          <cell r="C31" t="str">
            <v>AZEITONA PRETA SEM CAROÇO GOURMET 160 GR</v>
          </cell>
          <cell r="D31">
            <v>0.56</v>
          </cell>
          <cell r="E31" t="str">
            <v>345 GR</v>
          </cell>
          <cell r="F31">
            <v>0.16</v>
          </cell>
          <cell r="G31">
            <v>1.92</v>
          </cell>
          <cell r="H31">
            <v>12</v>
          </cell>
          <cell r="I31">
            <v>7898647930889</v>
          </cell>
          <cell r="J31">
            <v>17898647930886</v>
          </cell>
        </row>
        <row r="31">
          <cell r="M31" t="str">
            <v>2005.70.00</v>
          </cell>
          <cell r="N31">
            <v>0.12</v>
          </cell>
          <cell r="O31">
            <v>0</v>
          </cell>
          <cell r="P31">
            <v>0</v>
          </cell>
          <cell r="Q31">
            <v>0.6088</v>
          </cell>
          <cell r="R31">
            <v>1</v>
          </cell>
          <cell r="S31" t="str">
            <v>1,65% / 7,6%</v>
          </cell>
          <cell r="T31">
            <v>0</v>
          </cell>
          <cell r="U31" t="str">
            <v>17.092.00</v>
          </cell>
          <cell r="V31">
            <v>24</v>
          </cell>
          <cell r="W31">
            <v>720</v>
          </cell>
          <cell r="X31">
            <v>16.5</v>
          </cell>
          <cell r="Y31">
            <v>20</v>
          </cell>
          <cell r="Z31">
            <v>26</v>
          </cell>
          <cell r="AA31">
            <v>16.5</v>
          </cell>
          <cell r="AB31">
            <v>6.5</v>
          </cell>
          <cell r="AC31">
            <v>6.5</v>
          </cell>
          <cell r="AD31">
            <v>22</v>
          </cell>
          <cell r="AE31">
            <v>7</v>
          </cell>
        </row>
        <row r="32">
          <cell r="A32" t="str">
            <v>LINHA AZEITONAS SACHET</v>
          </cell>
        </row>
        <row r="33">
          <cell r="A33">
            <v>2006</v>
          </cell>
          <cell r="B33">
            <v>9663</v>
          </cell>
          <cell r="C33" t="str">
            <v>AZEITONA VERDE COM CAROÇO SACHET 80 GR</v>
          </cell>
          <cell r="D33">
            <v>0.18</v>
          </cell>
          <cell r="E33" t="str">
            <v>170 GR</v>
          </cell>
          <cell r="F33" t="str">
            <v>80 GR</v>
          </cell>
          <cell r="G33">
            <v>2.4</v>
          </cell>
          <cell r="H33">
            <v>30</v>
          </cell>
          <cell r="I33">
            <v>7898647930087</v>
          </cell>
          <cell r="J33">
            <v>17898647930084</v>
          </cell>
        </row>
        <row r="33">
          <cell r="M33" t="str">
            <v>2005.70.00</v>
          </cell>
          <cell r="N33">
            <v>0.12</v>
          </cell>
          <cell r="O33">
            <v>0</v>
          </cell>
          <cell r="P33">
            <v>0</v>
          </cell>
        </row>
        <row r="33">
          <cell r="R33">
            <v>1</v>
          </cell>
          <cell r="S33" t="str">
            <v>1,65% / 7,6%</v>
          </cell>
          <cell r="T33">
            <v>0</v>
          </cell>
          <cell r="U33" t="str">
            <v>17.092.00</v>
          </cell>
          <cell r="V33">
            <v>18</v>
          </cell>
          <cell r="W33">
            <v>540</v>
          </cell>
          <cell r="X33">
            <v>16.5</v>
          </cell>
          <cell r="Y33">
            <v>16.5</v>
          </cell>
          <cell r="Z33">
            <v>42</v>
          </cell>
          <cell r="AA33">
            <v>15</v>
          </cell>
          <cell r="AB33">
            <v>12</v>
          </cell>
          <cell r="AC33">
            <v>6</v>
          </cell>
          <cell r="AD33">
            <v>16</v>
          </cell>
          <cell r="AE33">
            <v>7</v>
          </cell>
        </row>
        <row r="34">
          <cell r="A34">
            <v>2025</v>
          </cell>
          <cell r="B34">
            <v>9664</v>
          </cell>
          <cell r="C34" t="str">
            <v>AZEITONA VERDE SEM CAROÇO SACHET 80 GR</v>
          </cell>
          <cell r="D34">
            <v>0.18</v>
          </cell>
          <cell r="E34" t="str">
            <v>170 GR</v>
          </cell>
          <cell r="F34" t="str">
            <v>80 GR</v>
          </cell>
          <cell r="G34">
            <v>2.4</v>
          </cell>
          <cell r="H34">
            <v>30</v>
          </cell>
          <cell r="I34">
            <v>7898647930834</v>
          </cell>
          <cell r="J34">
            <v>17898647930831</v>
          </cell>
        </row>
        <row r="34">
          <cell r="M34" t="str">
            <v>2005.70.00</v>
          </cell>
          <cell r="N34">
            <v>0.12</v>
          </cell>
          <cell r="O34">
            <v>0</v>
          </cell>
          <cell r="P34">
            <v>0</v>
          </cell>
        </row>
        <row r="34">
          <cell r="R34">
            <v>1</v>
          </cell>
          <cell r="S34" t="str">
            <v>1,65% / 7,6%</v>
          </cell>
          <cell r="T34">
            <v>0</v>
          </cell>
          <cell r="U34" t="str">
            <v>17.092.00</v>
          </cell>
          <cell r="V34">
            <v>18</v>
          </cell>
          <cell r="W34">
            <v>540</v>
          </cell>
          <cell r="X34">
            <v>16.5</v>
          </cell>
          <cell r="Y34">
            <v>16.5</v>
          </cell>
          <cell r="Z34">
            <v>42</v>
          </cell>
          <cell r="AA34">
            <v>15</v>
          </cell>
          <cell r="AB34">
            <v>12</v>
          </cell>
          <cell r="AC34">
            <v>6</v>
          </cell>
          <cell r="AD34">
            <v>16</v>
          </cell>
          <cell r="AE34">
            <v>7</v>
          </cell>
        </row>
        <row r="35">
          <cell r="A35">
            <v>2026</v>
          </cell>
          <cell r="B35">
            <v>9665</v>
          </cell>
          <cell r="C35" t="str">
            <v>AZEITONA VERDE FATIADA SACHET 80 GR</v>
          </cell>
          <cell r="D35">
            <v>0.18</v>
          </cell>
          <cell r="E35" t="str">
            <v>170 GR</v>
          </cell>
          <cell r="F35" t="str">
            <v>80 GR</v>
          </cell>
          <cell r="G35">
            <v>2.4</v>
          </cell>
          <cell r="H35">
            <v>30</v>
          </cell>
          <cell r="I35">
            <v>7898647930841</v>
          </cell>
          <cell r="J35">
            <v>17898647930848</v>
          </cell>
        </row>
        <row r="35">
          <cell r="M35" t="str">
            <v>2005.70.00</v>
          </cell>
          <cell r="N35">
            <v>0.12</v>
          </cell>
          <cell r="O35">
            <v>0</v>
          </cell>
          <cell r="P35">
            <v>0</v>
          </cell>
        </row>
        <row r="35">
          <cell r="R35">
            <v>1</v>
          </cell>
          <cell r="S35" t="str">
            <v>1,65% / 7,6%</v>
          </cell>
          <cell r="T35">
            <v>0</v>
          </cell>
          <cell r="U35" t="str">
            <v>17.092.00</v>
          </cell>
          <cell r="V35">
            <v>18</v>
          </cell>
          <cell r="W35">
            <v>540</v>
          </cell>
          <cell r="X35">
            <v>16.5</v>
          </cell>
          <cell r="Y35">
            <v>16.5</v>
          </cell>
          <cell r="Z35">
            <v>42</v>
          </cell>
          <cell r="AA35">
            <v>15</v>
          </cell>
          <cell r="AB35">
            <v>12</v>
          </cell>
          <cell r="AC35">
            <v>6</v>
          </cell>
          <cell r="AD35">
            <v>16</v>
          </cell>
          <cell r="AE35">
            <v>7</v>
          </cell>
        </row>
        <row r="36">
          <cell r="A36">
            <v>2028</v>
          </cell>
          <cell r="B36">
            <v>9666</v>
          </cell>
          <cell r="C36" t="str">
            <v>AZZEITONA RECHEADA SACHET 80 GR</v>
          </cell>
          <cell r="D36">
            <v>0.18</v>
          </cell>
          <cell r="E36" t="str">
            <v>170 GR</v>
          </cell>
          <cell r="F36" t="str">
            <v>80 GR</v>
          </cell>
          <cell r="G36">
            <v>2.4</v>
          </cell>
          <cell r="H36">
            <v>30</v>
          </cell>
          <cell r="I36">
            <v>7898647930858</v>
          </cell>
          <cell r="J36">
            <v>17898647930855</v>
          </cell>
        </row>
        <row r="36">
          <cell r="M36" t="str">
            <v>2005.70.00</v>
          </cell>
          <cell r="N36">
            <v>0.12</v>
          </cell>
          <cell r="O36">
            <v>0</v>
          </cell>
          <cell r="P36">
            <v>0</v>
          </cell>
        </row>
        <row r="36">
          <cell r="R36">
            <v>1</v>
          </cell>
          <cell r="S36" t="str">
            <v>1,65% / 7,6%</v>
          </cell>
          <cell r="T36">
            <v>0</v>
          </cell>
          <cell r="U36" t="str">
            <v>17.092.00</v>
          </cell>
          <cell r="V36">
            <v>18</v>
          </cell>
          <cell r="W36">
            <v>540</v>
          </cell>
          <cell r="X36">
            <v>16.5</v>
          </cell>
          <cell r="Y36">
            <v>16.5</v>
          </cell>
          <cell r="Z36">
            <v>42</v>
          </cell>
          <cell r="AA36">
            <v>15</v>
          </cell>
          <cell r="AB36">
            <v>12</v>
          </cell>
          <cell r="AC36">
            <v>6</v>
          </cell>
          <cell r="AD36">
            <v>16</v>
          </cell>
          <cell r="AE36">
            <v>7</v>
          </cell>
        </row>
        <row r="37">
          <cell r="A37">
            <v>2007</v>
          </cell>
          <cell r="B37">
            <v>9360</v>
          </cell>
          <cell r="C37" t="str">
            <v>AZEITONA VERDE SEM CAROÇO SACHET 120 GR</v>
          </cell>
          <cell r="D37">
            <v>0.295</v>
          </cell>
          <cell r="E37" t="str">
            <v>270 GR</v>
          </cell>
          <cell r="F37">
            <v>0.12</v>
          </cell>
          <cell r="G37">
            <v>2.16</v>
          </cell>
          <cell r="H37">
            <v>18</v>
          </cell>
          <cell r="I37">
            <v>7898647930094</v>
          </cell>
          <cell r="J37">
            <v>17898647930091</v>
          </cell>
        </row>
        <row r="37">
          <cell r="M37" t="str">
            <v>2005.70.00</v>
          </cell>
          <cell r="N37">
            <v>0.12</v>
          </cell>
          <cell r="O37">
            <v>0</v>
          </cell>
          <cell r="P37">
            <v>0</v>
          </cell>
        </row>
        <row r="37">
          <cell r="R37">
            <v>1</v>
          </cell>
          <cell r="S37" t="str">
            <v>1,65% / 7,6%</v>
          </cell>
          <cell r="T37">
            <v>0</v>
          </cell>
          <cell r="U37" t="str">
            <v>17.092.00</v>
          </cell>
          <cell r="V37">
            <v>18</v>
          </cell>
          <cell r="W37">
            <v>540</v>
          </cell>
          <cell r="X37">
            <v>16.5</v>
          </cell>
          <cell r="Y37">
            <v>16.5</v>
          </cell>
          <cell r="Z37">
            <v>42</v>
          </cell>
          <cell r="AA37">
            <v>19.5</v>
          </cell>
          <cell r="AB37">
            <v>12</v>
          </cell>
          <cell r="AC37">
            <v>6.5</v>
          </cell>
          <cell r="AD37">
            <v>16</v>
          </cell>
          <cell r="AE37">
            <v>7</v>
          </cell>
        </row>
        <row r="38">
          <cell r="A38">
            <v>2008</v>
          </cell>
          <cell r="B38">
            <v>9361</v>
          </cell>
          <cell r="C38" t="str">
            <v>AZEITONA VERDE FATIADA SACHET 120 GR</v>
          </cell>
          <cell r="D38">
            <v>0.305</v>
          </cell>
          <cell r="E38" t="str">
            <v>270 GR</v>
          </cell>
          <cell r="F38">
            <v>0.12</v>
          </cell>
          <cell r="G38">
            <v>2.16</v>
          </cell>
          <cell r="H38">
            <v>18</v>
          </cell>
          <cell r="I38">
            <v>7898647930100</v>
          </cell>
          <cell r="J38">
            <v>17898647930107</v>
          </cell>
        </row>
        <row r="38">
          <cell r="M38" t="str">
            <v>2005.70.00</v>
          </cell>
          <cell r="N38">
            <v>0.12</v>
          </cell>
          <cell r="O38">
            <v>0</v>
          </cell>
          <cell r="P38">
            <v>0</v>
          </cell>
        </row>
        <row r="38">
          <cell r="R38">
            <v>1</v>
          </cell>
          <cell r="S38" t="str">
            <v>1,65% / 7,6%</v>
          </cell>
          <cell r="T38">
            <v>0</v>
          </cell>
          <cell r="U38" t="str">
            <v>17.092.00</v>
          </cell>
          <cell r="V38">
            <v>18</v>
          </cell>
          <cell r="W38">
            <v>540</v>
          </cell>
          <cell r="X38">
            <v>16.5</v>
          </cell>
          <cell r="Y38">
            <v>16.5</v>
          </cell>
          <cell r="Z38">
            <v>42</v>
          </cell>
          <cell r="AA38">
            <v>19.5</v>
          </cell>
          <cell r="AB38">
            <v>12</v>
          </cell>
          <cell r="AC38">
            <v>6.5</v>
          </cell>
          <cell r="AD38">
            <v>16</v>
          </cell>
          <cell r="AE38">
            <v>7</v>
          </cell>
        </row>
        <row r="39">
          <cell r="A39">
            <v>2009</v>
          </cell>
          <cell r="B39">
            <v>9667</v>
          </cell>
          <cell r="C39" t="str">
            <v>AZEITONA VERDE RECHEADA SACHET 120 GR</v>
          </cell>
          <cell r="D39">
            <v>0.295</v>
          </cell>
          <cell r="E39" t="str">
            <v>270 GR</v>
          </cell>
          <cell r="F39">
            <v>0.12</v>
          </cell>
          <cell r="G39">
            <v>2.16</v>
          </cell>
          <cell r="H39">
            <v>18</v>
          </cell>
          <cell r="I39">
            <v>7898647930117</v>
          </cell>
          <cell r="J39">
            <v>17898647930114</v>
          </cell>
        </row>
        <row r="39">
          <cell r="M39" t="str">
            <v>2005.70.00</v>
          </cell>
          <cell r="N39">
            <v>0.12</v>
          </cell>
          <cell r="O39">
            <v>0</v>
          </cell>
          <cell r="P39">
            <v>0</v>
          </cell>
        </row>
        <row r="39">
          <cell r="R39">
            <v>1</v>
          </cell>
          <cell r="S39" t="str">
            <v>1,65% / 7,6%</v>
          </cell>
          <cell r="T39">
            <v>0</v>
          </cell>
          <cell r="U39" t="str">
            <v>17.092.00</v>
          </cell>
          <cell r="V39">
            <v>18</v>
          </cell>
          <cell r="W39">
            <v>540</v>
          </cell>
          <cell r="X39">
            <v>16.5</v>
          </cell>
          <cell r="Y39">
            <v>16.5</v>
          </cell>
          <cell r="Z39">
            <v>42</v>
          </cell>
          <cell r="AA39">
            <v>19.5</v>
          </cell>
          <cell r="AB39">
            <v>12</v>
          </cell>
          <cell r="AC39">
            <v>6.5</v>
          </cell>
          <cell r="AD39">
            <v>16</v>
          </cell>
          <cell r="AE39">
            <v>7</v>
          </cell>
        </row>
        <row r="40">
          <cell r="A40">
            <v>2010</v>
          </cell>
          <cell r="B40">
            <v>9630</v>
          </cell>
          <cell r="C40" t="str">
            <v>AZEITONA VERDE COM CAROÇO SACHET 150 GR</v>
          </cell>
          <cell r="D40">
            <v>0.325</v>
          </cell>
          <cell r="E40" t="str">
            <v>270 GR</v>
          </cell>
          <cell r="F40">
            <v>0.15</v>
          </cell>
          <cell r="G40">
            <v>2.7</v>
          </cell>
          <cell r="H40">
            <v>18</v>
          </cell>
          <cell r="I40">
            <v>7898647930124</v>
          </cell>
          <cell r="J40">
            <v>17898647930121</v>
          </cell>
        </row>
        <row r="40">
          <cell r="M40" t="str">
            <v>2005.70.00</v>
          </cell>
          <cell r="N40">
            <v>0.12</v>
          </cell>
          <cell r="O40">
            <v>0</v>
          </cell>
          <cell r="P40">
            <v>0</v>
          </cell>
        </row>
        <row r="40">
          <cell r="R40">
            <v>1</v>
          </cell>
          <cell r="S40" t="str">
            <v>1,65% / 7,6%</v>
          </cell>
          <cell r="T40">
            <v>0</v>
          </cell>
          <cell r="U40" t="str">
            <v>17.092.00</v>
          </cell>
          <cell r="V40">
            <v>18</v>
          </cell>
          <cell r="W40">
            <v>540</v>
          </cell>
          <cell r="X40">
            <v>16.5</v>
          </cell>
          <cell r="Y40">
            <v>16.5</v>
          </cell>
          <cell r="Z40">
            <v>42</v>
          </cell>
          <cell r="AA40">
            <v>19.5</v>
          </cell>
          <cell r="AB40">
            <v>12</v>
          </cell>
          <cell r="AC40">
            <v>6.5</v>
          </cell>
          <cell r="AD40">
            <v>16</v>
          </cell>
          <cell r="AE40">
            <v>7</v>
          </cell>
        </row>
        <row r="41">
          <cell r="A41">
            <v>2020</v>
          </cell>
          <cell r="B41">
            <v>9668</v>
          </cell>
          <cell r="C41" t="str">
            <v>CEBOLINHA SACHET 120 GR</v>
          </cell>
          <cell r="D41">
            <v>0.305</v>
          </cell>
          <cell r="E41" t="str">
            <v>270 GR</v>
          </cell>
          <cell r="F41">
            <v>0.12</v>
          </cell>
          <cell r="G41">
            <v>2.16</v>
          </cell>
          <cell r="H41">
            <v>18</v>
          </cell>
          <cell r="I41">
            <v>7898647930810</v>
          </cell>
          <cell r="J41">
            <v>17898647930817</v>
          </cell>
        </row>
        <row r="41">
          <cell r="M41" t="str">
            <v>2001.90.00</v>
          </cell>
          <cell r="N41">
            <v>0.12</v>
          </cell>
          <cell r="O41">
            <v>0</v>
          </cell>
          <cell r="P41">
            <v>0</v>
          </cell>
        </row>
        <row r="41">
          <cell r="R41">
            <v>1</v>
          </cell>
          <cell r="S41" t="str">
            <v>1,65% / 7,6%</v>
          </cell>
          <cell r="T41">
            <v>0</v>
          </cell>
          <cell r="U41" t="str">
            <v>17.090.00</v>
          </cell>
          <cell r="V41">
            <v>18</v>
          </cell>
          <cell r="W41">
            <v>540</v>
          </cell>
          <cell r="X41">
            <v>16.5</v>
          </cell>
          <cell r="Y41">
            <v>16.5</v>
          </cell>
          <cell r="Z41">
            <v>42</v>
          </cell>
          <cell r="AA41">
            <v>19.5</v>
          </cell>
          <cell r="AB41">
            <v>12</v>
          </cell>
          <cell r="AC41">
            <v>6.5</v>
          </cell>
          <cell r="AD41">
            <v>16</v>
          </cell>
          <cell r="AE41">
            <v>7</v>
          </cell>
        </row>
        <row r="42">
          <cell r="A42">
            <v>2027</v>
          </cell>
          <cell r="B42">
            <v>9669</v>
          </cell>
          <cell r="C42" t="str">
            <v>AZEITONA VERDE COM CAROÇO SACHET 400 GR</v>
          </cell>
          <cell r="D42">
            <v>0.305</v>
          </cell>
          <cell r="E42" t="str">
            <v>270 GR</v>
          </cell>
          <cell r="F42">
            <v>0.4</v>
          </cell>
          <cell r="G42">
            <v>4.8</v>
          </cell>
          <cell r="H42">
            <v>12</v>
          </cell>
          <cell r="I42">
            <v>7898966673139</v>
          </cell>
          <cell r="J42">
            <v>17898966673136</v>
          </cell>
        </row>
        <row r="42">
          <cell r="M42" t="str">
            <v>2005.70.00</v>
          </cell>
          <cell r="N42">
            <v>0.12</v>
          </cell>
          <cell r="O42">
            <v>0</v>
          </cell>
          <cell r="P42">
            <v>0</v>
          </cell>
        </row>
        <row r="42">
          <cell r="R42">
            <v>1</v>
          </cell>
          <cell r="S42" t="str">
            <v>1,65% / 7,6%</v>
          </cell>
          <cell r="T42">
            <v>0</v>
          </cell>
          <cell r="U42" t="str">
            <v>17.092.00</v>
          </cell>
          <cell r="V42">
            <v>18</v>
          </cell>
          <cell r="W42">
            <v>540</v>
          </cell>
          <cell r="X42">
            <v>17.5</v>
          </cell>
          <cell r="Y42">
            <v>24</v>
          </cell>
          <cell r="Z42">
            <v>42</v>
          </cell>
          <cell r="AA42">
            <v>16.5</v>
          </cell>
          <cell r="AB42">
            <v>26.5</v>
          </cell>
          <cell r="AC42">
            <v>8</v>
          </cell>
          <cell r="AD42">
            <v>16</v>
          </cell>
          <cell r="AE42">
            <v>7</v>
          </cell>
        </row>
        <row r="43">
          <cell r="A43" t="str">
            <v>LINHA 50 GRS</v>
          </cell>
        </row>
        <row r="44">
          <cell r="A44">
            <v>2011</v>
          </cell>
          <cell r="B44">
            <v>9565</v>
          </cell>
          <cell r="C44" t="str">
            <v>AZEITONA VERDE COM CAROÇO SACHET 50 GR</v>
          </cell>
          <cell r="D44">
            <v>0.197</v>
          </cell>
          <cell r="E44" t="str">
            <v>170 GR</v>
          </cell>
          <cell r="F44">
            <v>0.5</v>
          </cell>
          <cell r="G44">
            <v>1.8</v>
          </cell>
          <cell r="H44">
            <v>36</v>
          </cell>
          <cell r="I44">
            <v>7898647930476</v>
          </cell>
          <cell r="J44">
            <v>17898647930473</v>
          </cell>
        </row>
        <row r="44">
          <cell r="M44" t="str">
            <v>2005.70.00</v>
          </cell>
          <cell r="N44">
            <v>0.12</v>
          </cell>
          <cell r="O44">
            <v>0</v>
          </cell>
          <cell r="P44">
            <v>0</v>
          </cell>
        </row>
        <row r="44">
          <cell r="R44">
            <v>1</v>
          </cell>
          <cell r="S44" t="str">
            <v>1,65% / 7,6%</v>
          </cell>
          <cell r="T44">
            <v>0</v>
          </cell>
          <cell r="U44" t="str">
            <v>17.092.00</v>
          </cell>
          <cell r="V44">
            <v>18</v>
          </cell>
          <cell r="W44">
            <v>540</v>
          </cell>
          <cell r="X44">
            <v>16.5</v>
          </cell>
          <cell r="Y44">
            <v>16.5</v>
          </cell>
          <cell r="Z44">
            <v>42</v>
          </cell>
          <cell r="AA44">
            <v>16</v>
          </cell>
          <cell r="AB44">
            <v>11.5</v>
          </cell>
          <cell r="AC44">
            <v>4</v>
          </cell>
          <cell r="AD44">
            <v>16</v>
          </cell>
          <cell r="AE44">
            <v>7</v>
          </cell>
        </row>
        <row r="45">
          <cell r="A45">
            <v>2012</v>
          </cell>
          <cell r="B45">
            <v>9670</v>
          </cell>
          <cell r="C45" t="str">
            <v>AZEITONA VERDE SEM CAROÇO SACHET 50 GR</v>
          </cell>
          <cell r="D45">
            <v>0.187</v>
          </cell>
          <cell r="E45" t="str">
            <v>170 GR</v>
          </cell>
          <cell r="F45">
            <v>0.5</v>
          </cell>
          <cell r="G45">
            <v>1.8</v>
          </cell>
          <cell r="H45">
            <v>36</v>
          </cell>
          <cell r="I45">
            <v>7898647930483</v>
          </cell>
          <cell r="J45">
            <v>17898647930480</v>
          </cell>
        </row>
        <row r="45">
          <cell r="M45" t="str">
            <v>2005.70.00</v>
          </cell>
          <cell r="N45">
            <v>0.12</v>
          </cell>
          <cell r="O45">
            <v>0.5882</v>
          </cell>
          <cell r="P45">
            <v>0</v>
          </cell>
        </row>
        <row r="45">
          <cell r="R45">
            <v>1</v>
          </cell>
          <cell r="S45" t="str">
            <v>1,65% / 7,6%</v>
          </cell>
          <cell r="T45">
            <v>0</v>
          </cell>
          <cell r="U45" t="str">
            <v>17.092.00</v>
          </cell>
          <cell r="V45">
            <v>18</v>
          </cell>
        </row>
        <row r="45">
          <cell r="X45">
            <v>16.5</v>
          </cell>
          <cell r="Y45">
            <v>16.5</v>
          </cell>
          <cell r="Z45">
            <v>42</v>
          </cell>
          <cell r="AA45">
            <v>16</v>
          </cell>
          <cell r="AB45">
            <v>11.5</v>
          </cell>
          <cell r="AC45">
            <v>4</v>
          </cell>
          <cell r="AD45">
            <v>16</v>
          </cell>
          <cell r="AE45">
            <v>7</v>
          </cell>
        </row>
        <row r="46">
          <cell r="A46">
            <v>2013</v>
          </cell>
          <cell r="B46">
            <v>9671</v>
          </cell>
          <cell r="C46" t="str">
            <v>AZEITONA VERDE FATIADA SACHET 50 GR</v>
          </cell>
          <cell r="D46">
            <v>0.187</v>
          </cell>
          <cell r="E46" t="str">
            <v>170 GR</v>
          </cell>
          <cell r="F46">
            <v>0.5</v>
          </cell>
          <cell r="G46">
            <v>1.8</v>
          </cell>
          <cell r="H46">
            <v>36</v>
          </cell>
          <cell r="I46">
            <v>7898647930490</v>
          </cell>
          <cell r="J46">
            <v>17898647930497</v>
          </cell>
        </row>
        <row r="46">
          <cell r="M46" t="str">
            <v>2005.70.00</v>
          </cell>
          <cell r="N46">
            <v>0.12</v>
          </cell>
          <cell r="O46">
            <v>0.5882</v>
          </cell>
          <cell r="P46">
            <v>0</v>
          </cell>
        </row>
        <row r="46">
          <cell r="R46">
            <v>1</v>
          </cell>
          <cell r="S46" t="str">
            <v>1,65% / 7,6%</v>
          </cell>
          <cell r="T46">
            <v>0</v>
          </cell>
          <cell r="U46" t="str">
            <v>17.092.00</v>
          </cell>
          <cell r="V46">
            <v>18</v>
          </cell>
        </row>
        <row r="46">
          <cell r="X46">
            <v>16.5</v>
          </cell>
          <cell r="Y46">
            <v>16.5</v>
          </cell>
          <cell r="Z46">
            <v>42</v>
          </cell>
          <cell r="AA46">
            <v>16</v>
          </cell>
          <cell r="AB46">
            <v>11.5</v>
          </cell>
          <cell r="AC46">
            <v>4</v>
          </cell>
          <cell r="AD46">
            <v>16</v>
          </cell>
          <cell r="AE46">
            <v>7</v>
          </cell>
        </row>
        <row r="47">
          <cell r="A47">
            <v>2015</v>
          </cell>
          <cell r="B47">
            <v>9672</v>
          </cell>
          <cell r="C47" t="str">
            <v>CEBOLINHA  SACHET 50 GR</v>
          </cell>
          <cell r="D47">
            <v>0.187</v>
          </cell>
          <cell r="E47" t="str">
            <v>170 GR</v>
          </cell>
          <cell r="F47">
            <v>0.5</v>
          </cell>
          <cell r="G47">
            <v>1.8</v>
          </cell>
          <cell r="H47">
            <v>36</v>
          </cell>
          <cell r="I47">
            <v>7898647930513</v>
          </cell>
          <cell r="J47">
            <v>17898647930510</v>
          </cell>
        </row>
        <row r="47">
          <cell r="M47" t="str">
            <v>2001.90.00</v>
          </cell>
          <cell r="N47">
            <v>0.12</v>
          </cell>
          <cell r="O47">
            <v>0</v>
          </cell>
          <cell r="P47">
            <v>0</v>
          </cell>
        </row>
        <row r="47">
          <cell r="R47">
            <v>1</v>
          </cell>
          <cell r="S47" t="str">
            <v>1,65% / 7,6%</v>
          </cell>
          <cell r="T47">
            <v>0</v>
          </cell>
          <cell r="U47" t="str">
            <v>17.090.00</v>
          </cell>
          <cell r="V47">
            <v>18</v>
          </cell>
          <cell r="W47">
            <v>540</v>
          </cell>
          <cell r="X47">
            <v>16.5</v>
          </cell>
          <cell r="Y47">
            <v>16.5</v>
          </cell>
          <cell r="Z47">
            <v>42</v>
          </cell>
          <cell r="AA47">
            <v>16</v>
          </cell>
          <cell r="AB47">
            <v>11.5</v>
          </cell>
          <cell r="AC47">
            <v>4</v>
          </cell>
          <cell r="AD47">
            <v>16</v>
          </cell>
          <cell r="AE47">
            <v>7</v>
          </cell>
        </row>
        <row r="48">
          <cell r="A48" t="str">
            <v>LINHA CHAMPIGNONS SACHET</v>
          </cell>
        </row>
        <row r="49">
          <cell r="A49">
            <v>3001</v>
          </cell>
          <cell r="B49">
            <v>9673</v>
          </cell>
          <cell r="C49" t="str">
            <v>CHAMPIGNON INTEIRO SACHET 100 GR</v>
          </cell>
          <cell r="D49">
            <v>0.219</v>
          </cell>
          <cell r="E49" t="str">
            <v>170 GR</v>
          </cell>
          <cell r="F49">
            <v>0.1</v>
          </cell>
          <cell r="G49">
            <v>3</v>
          </cell>
          <cell r="H49">
            <v>30</v>
          </cell>
          <cell r="I49">
            <v>7898647930131</v>
          </cell>
          <cell r="J49">
            <v>17898647930138</v>
          </cell>
        </row>
        <row r="49">
          <cell r="M49" t="str">
            <v>2003.10.00</v>
          </cell>
          <cell r="N49">
            <v>0.12</v>
          </cell>
          <cell r="O49">
            <v>0</v>
          </cell>
          <cell r="P49">
            <v>0</v>
          </cell>
        </row>
        <row r="49">
          <cell r="R49">
            <v>1</v>
          </cell>
          <cell r="S49" t="str">
            <v>1,65% / 7,6%</v>
          </cell>
          <cell r="T49">
            <v>0</v>
          </cell>
          <cell r="U49">
            <v>0</v>
          </cell>
          <cell r="V49">
            <v>18</v>
          </cell>
          <cell r="W49">
            <v>540</v>
          </cell>
          <cell r="X49">
            <v>16.5</v>
          </cell>
          <cell r="Y49">
            <v>16.5</v>
          </cell>
          <cell r="Z49">
            <v>42</v>
          </cell>
          <cell r="AA49">
            <v>15</v>
          </cell>
          <cell r="AB49">
            <v>12</v>
          </cell>
          <cell r="AC49">
            <v>6</v>
          </cell>
          <cell r="AD49">
            <v>16</v>
          </cell>
          <cell r="AE49">
            <v>7</v>
          </cell>
        </row>
        <row r="50">
          <cell r="A50">
            <v>3002</v>
          </cell>
          <cell r="B50">
            <v>10057</v>
          </cell>
          <cell r="C50" t="str">
            <v>CHAMPIGNON FATIADO SACHET 100 GR</v>
          </cell>
          <cell r="D50">
            <v>0.209</v>
          </cell>
          <cell r="E50" t="str">
            <v>170 GR</v>
          </cell>
          <cell r="F50">
            <v>0.1</v>
          </cell>
          <cell r="G50">
            <v>3</v>
          </cell>
          <cell r="H50">
            <v>30</v>
          </cell>
          <cell r="I50">
            <v>7898647930148</v>
          </cell>
          <cell r="J50">
            <v>17898647930145</v>
          </cell>
        </row>
        <row r="50">
          <cell r="M50" t="str">
            <v>2003.10.00</v>
          </cell>
          <cell r="N50">
            <v>0.12</v>
          </cell>
          <cell r="O50">
            <v>0</v>
          </cell>
          <cell r="P50">
            <v>0</v>
          </cell>
        </row>
        <row r="50">
          <cell r="R50">
            <v>1</v>
          </cell>
          <cell r="S50" t="str">
            <v>1,65% / 7,6%</v>
          </cell>
          <cell r="T50">
            <v>0</v>
          </cell>
          <cell r="U50">
            <v>0</v>
          </cell>
          <cell r="V50">
            <v>18</v>
          </cell>
          <cell r="W50">
            <v>540</v>
          </cell>
          <cell r="X50">
            <v>16.5</v>
          </cell>
          <cell r="Y50">
            <v>16.5</v>
          </cell>
          <cell r="Z50">
            <v>42</v>
          </cell>
          <cell r="AA50">
            <v>15</v>
          </cell>
          <cell r="AB50">
            <v>12</v>
          </cell>
          <cell r="AC50">
            <v>6</v>
          </cell>
          <cell r="AD50">
            <v>16</v>
          </cell>
          <cell r="AE50">
            <v>7</v>
          </cell>
        </row>
        <row r="51">
          <cell r="A51" t="str">
            <v>LINHA SACHET 1,010 KG</v>
          </cell>
        </row>
        <row r="52">
          <cell r="A52">
            <v>6001</v>
          </cell>
          <cell r="B52">
            <v>9674</v>
          </cell>
          <cell r="C52" t="str">
            <v>AZEITONA VERDE  FATIADA SACHET 1,010 KG</v>
          </cell>
          <cell r="D52">
            <v>2.532</v>
          </cell>
          <cell r="E52" t="str">
            <v>1600 GR</v>
          </cell>
          <cell r="F52">
            <v>1.01</v>
          </cell>
          <cell r="G52">
            <v>6.06</v>
          </cell>
          <cell r="H52">
            <v>6</v>
          </cell>
          <cell r="I52">
            <v>7898647930308</v>
          </cell>
          <cell r="J52">
            <v>17898647930305</v>
          </cell>
        </row>
        <row r="52">
          <cell r="M52" t="str">
            <v>2005.70.00</v>
          </cell>
          <cell r="N52">
            <v>0.12</v>
          </cell>
          <cell r="O52">
            <v>0</v>
          </cell>
          <cell r="P52">
            <v>0</v>
          </cell>
        </row>
        <row r="52">
          <cell r="R52">
            <v>1</v>
          </cell>
          <cell r="S52" t="str">
            <v>1,65% / 7,6%</v>
          </cell>
          <cell r="T52">
            <v>0</v>
          </cell>
          <cell r="U52" t="str">
            <v>17.092.00</v>
          </cell>
          <cell r="V52">
            <v>18</v>
          </cell>
          <cell r="W52">
            <v>540</v>
          </cell>
          <cell r="X52">
            <v>17.5</v>
          </cell>
          <cell r="Y52">
            <v>24</v>
          </cell>
          <cell r="Z52">
            <v>42</v>
          </cell>
        </row>
        <row r="52">
          <cell r="AD52">
            <v>16</v>
          </cell>
          <cell r="AE52">
            <v>7</v>
          </cell>
        </row>
        <row r="53">
          <cell r="A53">
            <v>6002</v>
          </cell>
          <cell r="B53">
            <v>9675</v>
          </cell>
          <cell r="C53" t="str">
            <v>AZEITONA VERDE  S/ CAROÇO SACHET 1,010 KG</v>
          </cell>
          <cell r="D53">
            <v>2.512</v>
          </cell>
          <cell r="E53" t="str">
            <v>1600 GR</v>
          </cell>
          <cell r="F53">
            <v>1.01</v>
          </cell>
          <cell r="G53">
            <v>6.06</v>
          </cell>
          <cell r="H53">
            <v>6</v>
          </cell>
          <cell r="I53">
            <v>7898647930377</v>
          </cell>
          <cell r="J53">
            <v>17898647930312</v>
          </cell>
        </row>
        <row r="53">
          <cell r="M53" t="str">
            <v>2005.70.00</v>
          </cell>
          <cell r="N53">
            <v>0.12</v>
          </cell>
          <cell r="O53">
            <v>0</v>
          </cell>
          <cell r="P53">
            <v>0</v>
          </cell>
        </row>
        <row r="53">
          <cell r="R53">
            <v>1</v>
          </cell>
          <cell r="S53" t="str">
            <v>1,65% / 7,6%</v>
          </cell>
          <cell r="T53">
            <v>0</v>
          </cell>
          <cell r="U53" t="str">
            <v>17.092.00</v>
          </cell>
          <cell r="V53">
            <v>18</v>
          </cell>
          <cell r="W53">
            <v>540</v>
          </cell>
          <cell r="X53">
            <v>17.5</v>
          </cell>
          <cell r="Y53">
            <v>24</v>
          </cell>
          <cell r="Z53">
            <v>42</v>
          </cell>
        </row>
        <row r="53">
          <cell r="AD53">
            <v>16</v>
          </cell>
          <cell r="AE53">
            <v>7</v>
          </cell>
        </row>
        <row r="54">
          <cell r="A54">
            <v>6003</v>
          </cell>
          <cell r="B54">
            <v>9676</v>
          </cell>
          <cell r="C54" t="str">
            <v>AZEITONA VERDE RECHEADA SACHET 1,010 KG</v>
          </cell>
          <cell r="D54">
            <v>2.377</v>
          </cell>
          <cell r="E54" t="str">
            <v>1600 GR</v>
          </cell>
          <cell r="F54">
            <v>1.01</v>
          </cell>
          <cell r="G54">
            <v>6.06</v>
          </cell>
          <cell r="H54">
            <v>6</v>
          </cell>
          <cell r="I54">
            <v>7898647930322</v>
          </cell>
          <cell r="J54">
            <v>17898647930329</v>
          </cell>
        </row>
        <row r="54">
          <cell r="M54" t="str">
            <v>2005.70.00</v>
          </cell>
          <cell r="N54">
            <v>0.12</v>
          </cell>
          <cell r="O54">
            <v>0</v>
          </cell>
          <cell r="P54">
            <v>0</v>
          </cell>
        </row>
        <row r="54">
          <cell r="R54">
            <v>1</v>
          </cell>
          <cell r="S54" t="str">
            <v>1,65% / 7,6%</v>
          </cell>
          <cell r="T54">
            <v>0</v>
          </cell>
          <cell r="U54" t="str">
            <v>17.092.00</v>
          </cell>
          <cell r="V54">
            <v>18</v>
          </cell>
          <cell r="W54">
            <v>540</v>
          </cell>
          <cell r="X54">
            <v>17.5</v>
          </cell>
          <cell r="Y54">
            <v>24</v>
          </cell>
          <cell r="Z54">
            <v>42</v>
          </cell>
        </row>
        <row r="54">
          <cell r="AD54">
            <v>16</v>
          </cell>
          <cell r="AE54">
            <v>7</v>
          </cell>
        </row>
        <row r="55">
          <cell r="A55">
            <v>6005</v>
          </cell>
          <cell r="B55">
            <v>9677</v>
          </cell>
          <cell r="C55" t="str">
            <v>AZEITONA VERDE GRAUDA SACHET 1,010 KG</v>
          </cell>
          <cell r="D55">
            <v>4.412</v>
          </cell>
          <cell r="E55" t="str">
            <v>1600 GR</v>
          </cell>
          <cell r="F55">
            <v>1.01</v>
          </cell>
          <cell r="G55">
            <v>6.06</v>
          </cell>
          <cell r="H55">
            <v>6</v>
          </cell>
          <cell r="I55">
            <v>7898647930346</v>
          </cell>
          <cell r="J55">
            <v>17898647930343</v>
          </cell>
        </row>
        <row r="55">
          <cell r="M55" t="str">
            <v>2005.70.00</v>
          </cell>
          <cell r="N55">
            <v>0.12</v>
          </cell>
          <cell r="O55">
            <v>0</v>
          </cell>
          <cell r="P55">
            <v>0</v>
          </cell>
        </row>
        <row r="55">
          <cell r="R55">
            <v>1</v>
          </cell>
          <cell r="S55" t="str">
            <v>1,65% / 7,6%</v>
          </cell>
          <cell r="T55">
            <v>0</v>
          </cell>
          <cell r="U55" t="str">
            <v>17.092.00</v>
          </cell>
          <cell r="V55">
            <v>18</v>
          </cell>
          <cell r="W55">
            <v>540</v>
          </cell>
          <cell r="X55">
            <v>17.5</v>
          </cell>
          <cell r="Y55">
            <v>24</v>
          </cell>
          <cell r="Z55">
            <v>42</v>
          </cell>
        </row>
        <row r="55">
          <cell r="AD55">
            <v>16</v>
          </cell>
          <cell r="AE55">
            <v>7</v>
          </cell>
        </row>
        <row r="56">
          <cell r="A56">
            <v>6006</v>
          </cell>
          <cell r="B56">
            <v>9678</v>
          </cell>
          <cell r="C56" t="str">
            <v>AZEITONA VERDE MEDIA SACHET 1,010 KG</v>
          </cell>
          <cell r="D56">
            <v>2.504</v>
          </cell>
          <cell r="E56" t="str">
            <v>1600 GR</v>
          </cell>
          <cell r="F56">
            <v>1.01</v>
          </cell>
          <cell r="G56">
            <v>6.06</v>
          </cell>
          <cell r="H56">
            <v>6</v>
          </cell>
          <cell r="I56">
            <v>7898647930353</v>
          </cell>
          <cell r="J56">
            <v>17898647930350</v>
          </cell>
        </row>
        <row r="56">
          <cell r="M56" t="str">
            <v>2005.70.00</v>
          </cell>
          <cell r="N56">
            <v>0.12</v>
          </cell>
          <cell r="O56">
            <v>0</v>
          </cell>
          <cell r="P56">
            <v>0</v>
          </cell>
        </row>
        <row r="56">
          <cell r="R56">
            <v>1</v>
          </cell>
          <cell r="S56" t="str">
            <v>1,65% / 7,6%</v>
          </cell>
          <cell r="T56">
            <v>0</v>
          </cell>
          <cell r="U56" t="str">
            <v>17.092.00</v>
          </cell>
          <cell r="V56">
            <v>18</v>
          </cell>
          <cell r="W56">
            <v>540</v>
          </cell>
          <cell r="X56">
            <v>17.5</v>
          </cell>
          <cell r="Y56">
            <v>24</v>
          </cell>
          <cell r="Z56">
            <v>42</v>
          </cell>
        </row>
        <row r="56">
          <cell r="AD56">
            <v>16</v>
          </cell>
          <cell r="AE56">
            <v>7</v>
          </cell>
        </row>
        <row r="57">
          <cell r="A57">
            <v>6007</v>
          </cell>
          <cell r="B57">
            <v>9679</v>
          </cell>
          <cell r="C57" t="str">
            <v>AZEITONA VERDE MIUDA SACHET 1,010 KG</v>
          </cell>
          <cell r="D57">
            <v>2.5</v>
          </cell>
          <cell r="E57" t="str">
            <v>1600 GR</v>
          </cell>
          <cell r="F57">
            <v>1.01</v>
          </cell>
          <cell r="G57">
            <v>6.06</v>
          </cell>
          <cell r="H57">
            <v>6</v>
          </cell>
          <cell r="I57">
            <v>7898647930360</v>
          </cell>
          <cell r="J57">
            <v>17898647930367</v>
          </cell>
        </row>
        <row r="57">
          <cell r="M57" t="str">
            <v>2005.70.00</v>
          </cell>
          <cell r="N57">
            <v>0.12</v>
          </cell>
          <cell r="O57">
            <v>0</v>
          </cell>
          <cell r="P57">
            <v>0</v>
          </cell>
        </row>
        <row r="57">
          <cell r="R57">
            <v>1</v>
          </cell>
          <cell r="S57" t="str">
            <v>1,65% / 7,6%</v>
          </cell>
          <cell r="T57">
            <v>0</v>
          </cell>
          <cell r="U57" t="str">
            <v>17.092.00</v>
          </cell>
          <cell r="V57">
            <v>18</v>
          </cell>
          <cell r="W57">
            <v>540</v>
          </cell>
          <cell r="X57">
            <v>17.5</v>
          </cell>
          <cell r="Y57">
            <v>24</v>
          </cell>
          <cell r="Z57">
            <v>42</v>
          </cell>
        </row>
        <row r="57">
          <cell r="AD57">
            <v>16</v>
          </cell>
          <cell r="AE57">
            <v>7</v>
          </cell>
        </row>
        <row r="58">
          <cell r="A58">
            <v>6014</v>
          </cell>
          <cell r="B58">
            <v>9680</v>
          </cell>
          <cell r="C58" t="str">
            <v>CHAMPIGNON INTEIRO SACHET 1,010 KG</v>
          </cell>
          <cell r="D58">
            <v>2.26</v>
          </cell>
          <cell r="E58" t="str">
            <v>1600 GR</v>
          </cell>
          <cell r="F58">
            <v>1.01</v>
          </cell>
          <cell r="G58">
            <v>6.06</v>
          </cell>
          <cell r="H58">
            <v>6</v>
          </cell>
          <cell r="I58">
            <v>7898647930445</v>
          </cell>
          <cell r="J58">
            <v>17898647930442</v>
          </cell>
        </row>
        <row r="58">
          <cell r="M58" t="str">
            <v>2003.10.00</v>
          </cell>
          <cell r="N58">
            <v>0.12</v>
          </cell>
          <cell r="O58">
            <v>0</v>
          </cell>
          <cell r="P58">
            <v>0</v>
          </cell>
        </row>
        <row r="58">
          <cell r="R58">
            <v>1</v>
          </cell>
          <cell r="S58" t="str">
            <v>1,65% / 7,6%</v>
          </cell>
          <cell r="T58">
            <v>0</v>
          </cell>
          <cell r="U58">
            <v>0</v>
          </cell>
          <cell r="V58">
            <v>18</v>
          </cell>
          <cell r="W58">
            <v>540</v>
          </cell>
          <cell r="X58">
            <v>17.5</v>
          </cell>
          <cell r="Y58">
            <v>24</v>
          </cell>
          <cell r="Z58">
            <v>42</v>
          </cell>
        </row>
        <row r="58">
          <cell r="AD58">
            <v>16</v>
          </cell>
          <cell r="AE58">
            <v>7</v>
          </cell>
        </row>
        <row r="59">
          <cell r="A59">
            <v>6015</v>
          </cell>
          <cell r="B59">
            <v>9681</v>
          </cell>
          <cell r="C59" t="str">
            <v>CHAMPIGNON FATIADO SACHET 1,010 KG</v>
          </cell>
          <cell r="D59">
            <v>2.387</v>
          </cell>
          <cell r="E59" t="str">
            <v>1600 GR</v>
          </cell>
          <cell r="F59">
            <v>1.01</v>
          </cell>
          <cell r="G59">
            <v>6.06</v>
          </cell>
          <cell r="H59">
            <v>6</v>
          </cell>
          <cell r="I59">
            <v>7898647930452</v>
          </cell>
          <cell r="J59">
            <v>17898647930459</v>
          </cell>
        </row>
        <row r="59">
          <cell r="M59" t="str">
            <v>2003.10.00</v>
          </cell>
          <cell r="N59">
            <v>0.12</v>
          </cell>
          <cell r="O59">
            <v>0</v>
          </cell>
          <cell r="P59">
            <v>0</v>
          </cell>
        </row>
        <row r="59">
          <cell r="R59">
            <v>1</v>
          </cell>
          <cell r="S59" t="str">
            <v>1,65% / 7,6%</v>
          </cell>
          <cell r="T59">
            <v>0</v>
          </cell>
          <cell r="U59">
            <v>0</v>
          </cell>
          <cell r="V59">
            <v>18</v>
          </cell>
          <cell r="W59">
            <v>540</v>
          </cell>
          <cell r="X59">
            <v>17.5</v>
          </cell>
          <cell r="Y59">
            <v>24</v>
          </cell>
          <cell r="Z59">
            <v>42</v>
          </cell>
        </row>
        <row r="59">
          <cell r="AD59">
            <v>16</v>
          </cell>
          <cell r="AE59">
            <v>7</v>
          </cell>
        </row>
        <row r="60">
          <cell r="A60" t="str">
            <v>LINHA BALDES 2KG</v>
          </cell>
        </row>
        <row r="60">
          <cell r="J60" t="str">
            <v>FARDO C/ 2</v>
          </cell>
          <cell r="K60" t="str">
            <v>FARDO C/ 4</v>
          </cell>
          <cell r="L60" t="str">
            <v>CAIXA C/ 6</v>
          </cell>
        </row>
        <row r="61">
          <cell r="A61">
            <v>5001</v>
          </cell>
          <cell r="B61">
            <v>9682</v>
          </cell>
          <cell r="C61" t="str">
            <v>AZEITONA VERDE  FATIADA BALDE 2 KG</v>
          </cell>
          <cell r="D61">
            <v>3.49</v>
          </cell>
          <cell r="E61" t="str">
            <v>3 KG</v>
          </cell>
          <cell r="F61">
            <v>2</v>
          </cell>
          <cell r="G61">
            <v>4</v>
          </cell>
          <cell r="H61">
            <v>2</v>
          </cell>
          <cell r="I61">
            <v>7898647930155</v>
          </cell>
          <cell r="J61">
            <v>37898647930156</v>
          </cell>
          <cell r="K61">
            <v>27898647930159</v>
          </cell>
          <cell r="L61">
            <v>17898647930152</v>
          </cell>
          <cell r="M61" t="str">
            <v>2005.70.00</v>
          </cell>
          <cell r="N61">
            <v>0.12</v>
          </cell>
          <cell r="O61">
            <v>0</v>
          </cell>
          <cell r="P61">
            <v>0</v>
          </cell>
        </row>
        <row r="61">
          <cell r="R61">
            <v>1</v>
          </cell>
          <cell r="S61" t="str">
            <v>1,65% / 7,6%</v>
          </cell>
          <cell r="T61">
            <v>0</v>
          </cell>
          <cell r="U61" t="str">
            <v>17.092.01</v>
          </cell>
          <cell r="V61">
            <v>12</v>
          </cell>
          <cell r="W61">
            <v>360</v>
          </cell>
          <cell r="X61">
            <v>16</v>
          </cell>
          <cell r="Y61">
            <v>19</v>
          </cell>
          <cell r="Z61">
            <v>38</v>
          </cell>
          <cell r="AA61">
            <v>16.5</v>
          </cell>
          <cell r="AB61">
            <v>18.5</v>
          </cell>
          <cell r="AC61">
            <v>18.5</v>
          </cell>
          <cell r="AD61">
            <v>15</v>
          </cell>
          <cell r="AE61">
            <v>7</v>
          </cell>
        </row>
        <row r="62">
          <cell r="A62">
            <v>5002</v>
          </cell>
          <cell r="B62">
            <v>9685</v>
          </cell>
          <cell r="C62" t="str">
            <v>AZEITONA VERDE S/ CAROÇO BALDE 2 KG</v>
          </cell>
          <cell r="D62">
            <v>3.55</v>
          </cell>
          <cell r="E62" t="str">
            <v>3 KG</v>
          </cell>
          <cell r="F62">
            <v>2</v>
          </cell>
          <cell r="G62">
            <v>4</v>
          </cell>
          <cell r="H62">
            <v>2</v>
          </cell>
          <cell r="I62">
            <v>7898647930162</v>
          </cell>
          <cell r="J62">
            <v>37898647930163</v>
          </cell>
          <cell r="K62">
            <v>27898647930166</v>
          </cell>
          <cell r="L62">
            <v>17898647930169</v>
          </cell>
          <cell r="M62" t="str">
            <v>2005.70.00</v>
          </cell>
          <cell r="N62">
            <v>0.12</v>
          </cell>
          <cell r="O62">
            <v>0</v>
          </cell>
          <cell r="P62">
            <v>0</v>
          </cell>
        </row>
        <row r="62">
          <cell r="R62">
            <v>1</v>
          </cell>
          <cell r="S62" t="str">
            <v>1,65% / 7,6%</v>
          </cell>
          <cell r="T62">
            <v>0</v>
          </cell>
          <cell r="U62" t="str">
            <v>17.092.01</v>
          </cell>
          <cell r="V62">
            <v>12</v>
          </cell>
          <cell r="W62">
            <v>360</v>
          </cell>
          <cell r="X62">
            <v>16</v>
          </cell>
          <cell r="Y62">
            <v>19</v>
          </cell>
          <cell r="Z62">
            <v>38</v>
          </cell>
          <cell r="AA62">
            <v>16.5</v>
          </cell>
          <cell r="AB62">
            <v>18.5</v>
          </cell>
          <cell r="AC62">
            <v>18.5</v>
          </cell>
          <cell r="AD62">
            <v>15</v>
          </cell>
          <cell r="AE62">
            <v>7</v>
          </cell>
        </row>
        <row r="63">
          <cell r="A63">
            <v>5004</v>
          </cell>
          <cell r="B63">
            <v>9688</v>
          </cell>
          <cell r="C63" t="str">
            <v>AZEITONA PRETA BALDE 2 KG</v>
          </cell>
          <cell r="D63">
            <v>3.55</v>
          </cell>
          <cell r="E63" t="str">
            <v>3 KG</v>
          </cell>
          <cell r="F63">
            <v>2</v>
          </cell>
          <cell r="G63">
            <v>4</v>
          </cell>
          <cell r="H63">
            <v>2</v>
          </cell>
          <cell r="I63">
            <v>7898647930186</v>
          </cell>
          <cell r="J63">
            <v>37898647930187</v>
          </cell>
          <cell r="K63">
            <v>27898647930180</v>
          </cell>
          <cell r="L63">
            <v>17898647930183</v>
          </cell>
          <cell r="M63" t="str">
            <v>2005.70.00</v>
          </cell>
          <cell r="N63">
            <v>0.12</v>
          </cell>
          <cell r="O63">
            <v>0</v>
          </cell>
          <cell r="P63">
            <v>0</v>
          </cell>
        </row>
        <row r="63">
          <cell r="R63">
            <v>1</v>
          </cell>
          <cell r="S63" t="str">
            <v>1,65% / 7,6%</v>
          </cell>
          <cell r="T63">
            <v>0</v>
          </cell>
          <cell r="U63" t="str">
            <v>17.092.01</v>
          </cell>
          <cell r="V63">
            <v>12</v>
          </cell>
          <cell r="W63">
            <v>360</v>
          </cell>
          <cell r="X63">
            <v>16</v>
          </cell>
          <cell r="Y63">
            <v>19</v>
          </cell>
          <cell r="Z63">
            <v>38</v>
          </cell>
          <cell r="AA63">
            <v>16.5</v>
          </cell>
          <cell r="AB63">
            <v>18.5</v>
          </cell>
          <cell r="AC63">
            <v>18.5</v>
          </cell>
          <cell r="AD63">
            <v>15</v>
          </cell>
          <cell r="AE63">
            <v>7</v>
          </cell>
        </row>
        <row r="64">
          <cell r="A64">
            <v>5005</v>
          </cell>
          <cell r="B64">
            <v>9689</v>
          </cell>
          <cell r="C64" t="str">
            <v>AZEITONA VERDE GRAUDA BALDE 2 KG</v>
          </cell>
          <cell r="D64">
            <v>3.5</v>
          </cell>
          <cell r="E64" t="str">
            <v>3 KG</v>
          </cell>
          <cell r="F64">
            <v>2</v>
          </cell>
          <cell r="G64">
            <v>4</v>
          </cell>
          <cell r="H64">
            <v>2</v>
          </cell>
          <cell r="I64">
            <v>7898647930193</v>
          </cell>
          <cell r="J64">
            <v>37898647930194</v>
          </cell>
          <cell r="K64">
            <v>27898647930197</v>
          </cell>
          <cell r="L64">
            <v>17898647930190</v>
          </cell>
          <cell r="M64" t="str">
            <v>2005.70.00</v>
          </cell>
          <cell r="N64">
            <v>0.12</v>
          </cell>
          <cell r="O64">
            <v>0</v>
          </cell>
          <cell r="P64">
            <v>0</v>
          </cell>
        </row>
        <row r="64">
          <cell r="R64">
            <v>1</v>
          </cell>
          <cell r="S64" t="str">
            <v>1,65% / 7,6%</v>
          </cell>
          <cell r="T64">
            <v>0</v>
          </cell>
          <cell r="U64" t="str">
            <v>17.092.01</v>
          </cell>
          <cell r="V64">
            <v>12</v>
          </cell>
          <cell r="W64">
            <v>360</v>
          </cell>
          <cell r="X64">
            <v>16</v>
          </cell>
          <cell r="Y64">
            <v>19</v>
          </cell>
          <cell r="Z64">
            <v>38</v>
          </cell>
          <cell r="AA64">
            <v>16.5</v>
          </cell>
          <cell r="AB64">
            <v>18.5</v>
          </cell>
          <cell r="AC64">
            <v>18.5</v>
          </cell>
          <cell r="AD64">
            <v>15</v>
          </cell>
          <cell r="AE64">
            <v>7</v>
          </cell>
        </row>
        <row r="65">
          <cell r="A65">
            <v>5006</v>
          </cell>
          <cell r="B65">
            <v>9690</v>
          </cell>
          <cell r="C65" t="str">
            <v>AZEITONA VERDE MEDIA BALDE 2 KG</v>
          </cell>
          <cell r="D65">
            <v>3.59</v>
          </cell>
          <cell r="E65" t="str">
            <v>3 KG</v>
          </cell>
          <cell r="F65">
            <v>2</v>
          </cell>
          <cell r="G65">
            <v>4</v>
          </cell>
          <cell r="H65">
            <v>2</v>
          </cell>
          <cell r="I65">
            <v>7898647930209</v>
          </cell>
          <cell r="J65">
            <v>37898647930200</v>
          </cell>
          <cell r="K65">
            <v>27898647930203</v>
          </cell>
          <cell r="L65">
            <v>17898647930206</v>
          </cell>
          <cell r="M65" t="str">
            <v>2005.70.00</v>
          </cell>
          <cell r="N65">
            <v>0.12</v>
          </cell>
          <cell r="O65">
            <v>0</v>
          </cell>
          <cell r="P65">
            <v>0</v>
          </cell>
        </row>
        <row r="65">
          <cell r="R65">
            <v>1</v>
          </cell>
          <cell r="S65" t="str">
            <v>1,65% / 7,6%</v>
          </cell>
          <cell r="T65">
            <v>0</v>
          </cell>
          <cell r="U65" t="str">
            <v>17.092.01</v>
          </cell>
          <cell r="V65">
            <v>12</v>
          </cell>
          <cell r="W65">
            <v>360</v>
          </cell>
          <cell r="X65">
            <v>16</v>
          </cell>
          <cell r="Y65">
            <v>19</v>
          </cell>
          <cell r="Z65">
            <v>38</v>
          </cell>
          <cell r="AA65">
            <v>16.5</v>
          </cell>
          <cell r="AB65">
            <v>18.5</v>
          </cell>
          <cell r="AC65">
            <v>18.5</v>
          </cell>
          <cell r="AD65">
            <v>15</v>
          </cell>
          <cell r="AE65">
            <v>7</v>
          </cell>
        </row>
        <row r="66">
          <cell r="A66">
            <v>5007</v>
          </cell>
          <cell r="B66">
            <v>9564</v>
          </cell>
          <cell r="C66" t="str">
            <v>AZEITONA VERDE MIUDA BALDE 2 KG</v>
          </cell>
          <cell r="D66">
            <v>3.64</v>
          </cell>
          <cell r="E66" t="str">
            <v>3 KG</v>
          </cell>
          <cell r="F66">
            <v>2</v>
          </cell>
          <cell r="G66">
            <v>4</v>
          </cell>
          <cell r="H66">
            <v>2</v>
          </cell>
          <cell r="I66">
            <v>7898647930216</v>
          </cell>
          <cell r="J66">
            <v>37898647930217</v>
          </cell>
          <cell r="K66">
            <v>27898647930210</v>
          </cell>
          <cell r="L66">
            <v>17898647930213</v>
          </cell>
          <cell r="M66" t="str">
            <v>2005.70.00</v>
          </cell>
          <cell r="N66">
            <v>0.12</v>
          </cell>
          <cell r="O66">
            <v>0</v>
          </cell>
          <cell r="P66">
            <v>0</v>
          </cell>
        </row>
        <row r="66">
          <cell r="R66">
            <v>1</v>
          </cell>
          <cell r="S66" t="str">
            <v>1,65% / 7,6%</v>
          </cell>
          <cell r="T66">
            <v>0</v>
          </cell>
          <cell r="U66" t="str">
            <v>17.092.01</v>
          </cell>
          <cell r="V66">
            <v>12</v>
          </cell>
          <cell r="W66">
            <v>360</v>
          </cell>
          <cell r="X66">
            <v>16</v>
          </cell>
          <cell r="Y66">
            <v>19</v>
          </cell>
          <cell r="Z66">
            <v>38</v>
          </cell>
          <cell r="AA66">
            <v>16.5</v>
          </cell>
          <cell r="AB66">
            <v>18.5</v>
          </cell>
          <cell r="AC66">
            <v>18.5</v>
          </cell>
          <cell r="AD66">
            <v>15</v>
          </cell>
          <cell r="AE66">
            <v>7</v>
          </cell>
        </row>
        <row r="67">
          <cell r="A67">
            <v>5016</v>
          </cell>
          <cell r="B67">
            <v>9683</v>
          </cell>
          <cell r="C67" t="str">
            <v>AZ PRETA FATIADA BALDE 2 KG</v>
          </cell>
          <cell r="D67">
            <v>3.55</v>
          </cell>
          <cell r="E67" t="str">
            <v>3 KG</v>
          </cell>
          <cell r="F67">
            <v>2</v>
          </cell>
          <cell r="G67">
            <v>4</v>
          </cell>
          <cell r="H67">
            <v>2</v>
          </cell>
          <cell r="I67">
            <v>7898647930520</v>
          </cell>
          <cell r="J67">
            <v>37898647930521</v>
          </cell>
          <cell r="K67">
            <v>27898647930524</v>
          </cell>
          <cell r="L67">
            <v>17898647930527</v>
          </cell>
          <cell r="M67" t="str">
            <v>2005.70.00</v>
          </cell>
          <cell r="N67">
            <v>0.12</v>
          </cell>
          <cell r="O67">
            <v>0</v>
          </cell>
          <cell r="P67">
            <v>0</v>
          </cell>
        </row>
        <row r="67">
          <cell r="R67">
            <v>1</v>
          </cell>
          <cell r="S67" t="str">
            <v>1,65% / 7,6%</v>
          </cell>
          <cell r="T67">
            <v>0</v>
          </cell>
          <cell r="U67" t="str">
            <v>17.092.01</v>
          </cell>
          <cell r="V67">
            <v>12</v>
          </cell>
          <cell r="W67">
            <v>360</v>
          </cell>
          <cell r="X67">
            <v>16</v>
          </cell>
          <cell r="Y67">
            <v>19</v>
          </cell>
          <cell r="Z67">
            <v>38</v>
          </cell>
          <cell r="AA67">
            <v>16.5</v>
          </cell>
          <cell r="AB67">
            <v>18.5</v>
          </cell>
          <cell r="AC67">
            <v>18.5</v>
          </cell>
          <cell r="AD67">
            <v>15</v>
          </cell>
          <cell r="AE67">
            <v>7</v>
          </cell>
        </row>
        <row r="68">
          <cell r="A68">
            <v>5017</v>
          </cell>
          <cell r="B68">
            <v>9686</v>
          </cell>
          <cell r="C68" t="str">
            <v>AZ PRETA SEM CAROÇO BALDE 2 KG</v>
          </cell>
          <cell r="D68">
            <v>3.55</v>
          </cell>
          <cell r="E68" t="str">
            <v>3 KG</v>
          </cell>
          <cell r="F68">
            <v>2</v>
          </cell>
          <cell r="G68">
            <v>4</v>
          </cell>
          <cell r="H68">
            <v>2</v>
          </cell>
          <cell r="I68">
            <v>7898647930537</v>
          </cell>
          <cell r="J68">
            <v>37898647930538</v>
          </cell>
          <cell r="K68">
            <v>27898647930531</v>
          </cell>
          <cell r="L68">
            <v>17898647930534</v>
          </cell>
          <cell r="M68" t="str">
            <v>2005.70.00</v>
          </cell>
          <cell r="N68">
            <v>0.12</v>
          </cell>
          <cell r="O68">
            <v>0</v>
          </cell>
          <cell r="P68">
            <v>0</v>
          </cell>
        </row>
        <row r="68">
          <cell r="R68">
            <v>1</v>
          </cell>
          <cell r="S68" t="str">
            <v>1,65% / 7,6%</v>
          </cell>
          <cell r="T68">
            <v>0</v>
          </cell>
          <cell r="U68" t="str">
            <v>17.092.01</v>
          </cell>
          <cell r="V68">
            <v>12</v>
          </cell>
          <cell r="W68">
            <v>360</v>
          </cell>
          <cell r="X68">
            <v>16</v>
          </cell>
          <cell r="Y68">
            <v>19</v>
          </cell>
          <cell r="Z68">
            <v>38</v>
          </cell>
          <cell r="AA68">
            <v>16.5</v>
          </cell>
          <cell r="AB68">
            <v>18.5</v>
          </cell>
          <cell r="AC68">
            <v>18.5</v>
          </cell>
          <cell r="AD68">
            <v>15</v>
          </cell>
          <cell r="AE68">
            <v>7</v>
          </cell>
        </row>
        <row r="69">
          <cell r="A69">
            <v>5003</v>
          </cell>
          <cell r="B69">
            <v>9732</v>
          </cell>
          <cell r="C69" t="str">
            <v>AZ VERDE RECHEADA BALDE 2 KG</v>
          </cell>
          <cell r="D69">
            <v>3.56</v>
          </cell>
          <cell r="E69" t="str">
            <v>3 KG</v>
          </cell>
          <cell r="F69">
            <v>2</v>
          </cell>
          <cell r="G69">
            <v>4</v>
          </cell>
          <cell r="H69">
            <v>2</v>
          </cell>
          <cell r="I69">
            <v>7898647930179</v>
          </cell>
          <cell r="J69">
            <v>37898647930170</v>
          </cell>
          <cell r="K69">
            <v>27898647930173</v>
          </cell>
          <cell r="L69">
            <v>17898647930176</v>
          </cell>
          <cell r="M69" t="str">
            <v>2005.70.00</v>
          </cell>
          <cell r="N69">
            <v>0.12</v>
          </cell>
          <cell r="O69">
            <v>0</v>
          </cell>
          <cell r="P69">
            <v>0</v>
          </cell>
        </row>
        <row r="69">
          <cell r="R69">
            <v>1</v>
          </cell>
          <cell r="S69" t="str">
            <v>1,65% / 7,6%</v>
          </cell>
          <cell r="T69">
            <v>0</v>
          </cell>
          <cell r="U69" t="str">
            <v>17.092.01</v>
          </cell>
          <cell r="V69">
            <v>12</v>
          </cell>
          <cell r="W69">
            <v>360</v>
          </cell>
          <cell r="X69">
            <v>16</v>
          </cell>
          <cell r="Y69">
            <v>19</v>
          </cell>
          <cell r="Z69">
            <v>38</v>
          </cell>
          <cell r="AA69">
            <v>16.5</v>
          </cell>
          <cell r="AB69">
            <v>18.5</v>
          </cell>
          <cell r="AC69">
            <v>18.5</v>
          </cell>
          <cell r="AD69">
            <v>15</v>
          </cell>
          <cell r="AE69">
            <v>7</v>
          </cell>
        </row>
        <row r="70">
          <cell r="A70">
            <v>5019</v>
          </cell>
          <cell r="B70">
            <v>9733</v>
          </cell>
          <cell r="C70" t="str">
            <v>AZ VERDE GORDAL BALDE 2 KG</v>
          </cell>
          <cell r="D70">
            <v>3.52</v>
          </cell>
          <cell r="E70" t="str">
            <v>3 KG</v>
          </cell>
          <cell r="F70">
            <v>2</v>
          </cell>
          <cell r="G70">
            <v>4</v>
          </cell>
          <cell r="H70">
            <v>2</v>
          </cell>
          <cell r="I70">
            <v>7898647930551</v>
          </cell>
          <cell r="J70">
            <v>37898647930552</v>
          </cell>
          <cell r="K70">
            <v>27898647930555</v>
          </cell>
          <cell r="L70">
            <v>17898647930558</v>
          </cell>
          <cell r="M70" t="str">
            <v>2005.70.00</v>
          </cell>
          <cell r="N70">
            <v>0.12</v>
          </cell>
          <cell r="O70">
            <v>0</v>
          </cell>
          <cell r="P70">
            <v>0</v>
          </cell>
        </row>
        <row r="70">
          <cell r="R70">
            <v>1</v>
          </cell>
          <cell r="S70" t="str">
            <v>1,65% / 7,6%</v>
          </cell>
          <cell r="T70">
            <v>0</v>
          </cell>
          <cell r="U70" t="str">
            <v>17.092.01</v>
          </cell>
          <cell r="V70">
            <v>12</v>
          </cell>
          <cell r="W70">
            <v>360</v>
          </cell>
          <cell r="X70">
            <v>16</v>
          </cell>
          <cell r="Y70">
            <v>19</v>
          </cell>
          <cell r="Z70">
            <v>38</v>
          </cell>
          <cell r="AA70">
            <v>16.5</v>
          </cell>
          <cell r="AB70">
            <v>18.5</v>
          </cell>
          <cell r="AC70">
            <v>18.5</v>
          </cell>
          <cell r="AD70">
            <v>15</v>
          </cell>
          <cell r="AE70">
            <v>7</v>
          </cell>
        </row>
        <row r="71">
          <cell r="A71">
            <v>5020</v>
          </cell>
          <cell r="B71">
            <v>9687</v>
          </cell>
          <cell r="C71" t="str">
            <v>AZ VERDE GORDAL SEM CAROÇO BALDE 2 KG</v>
          </cell>
          <cell r="D71">
            <v>3.52</v>
          </cell>
          <cell r="E71" t="str">
            <v>3 KG</v>
          </cell>
          <cell r="F71">
            <v>2</v>
          </cell>
          <cell r="G71">
            <v>4</v>
          </cell>
          <cell r="H71">
            <v>2</v>
          </cell>
          <cell r="I71">
            <v>7898966673191</v>
          </cell>
          <cell r="J71">
            <v>37898966673192</v>
          </cell>
          <cell r="K71">
            <v>17898966673198</v>
          </cell>
          <cell r="L71">
            <v>27898966673195</v>
          </cell>
          <cell r="M71" t="str">
            <v>2005.70.00</v>
          </cell>
          <cell r="N71">
            <v>0.12</v>
          </cell>
          <cell r="O71">
            <v>0</v>
          </cell>
          <cell r="P71">
            <v>0</v>
          </cell>
        </row>
        <row r="71">
          <cell r="R71">
            <v>1</v>
          </cell>
          <cell r="S71" t="str">
            <v>1,65% / 7,6%</v>
          </cell>
          <cell r="T71">
            <v>0</v>
          </cell>
          <cell r="U71" t="str">
            <v>17.092.01</v>
          </cell>
          <cell r="V71">
            <v>12</v>
          </cell>
          <cell r="W71">
            <v>360</v>
          </cell>
          <cell r="X71">
            <v>16</v>
          </cell>
          <cell r="Y71">
            <v>19</v>
          </cell>
          <cell r="Z71">
            <v>38</v>
          </cell>
          <cell r="AA71">
            <v>16.5</v>
          </cell>
          <cell r="AB71">
            <v>18.5</v>
          </cell>
          <cell r="AC71">
            <v>18.5</v>
          </cell>
          <cell r="AD71">
            <v>15</v>
          </cell>
          <cell r="AE71">
            <v>7</v>
          </cell>
        </row>
        <row r="72">
          <cell r="A72">
            <v>5012</v>
          </cell>
          <cell r="B72">
            <v>9734</v>
          </cell>
          <cell r="C72" t="str">
            <v>CHAMPIGNON INTEIRO BALDE 2 KG</v>
          </cell>
          <cell r="D72">
            <v>3.55</v>
          </cell>
          <cell r="E72" t="str">
            <v>3 KG</v>
          </cell>
          <cell r="F72">
            <v>2</v>
          </cell>
          <cell r="G72">
            <v>4</v>
          </cell>
          <cell r="H72">
            <v>2</v>
          </cell>
          <cell r="I72">
            <v>7898647930261</v>
          </cell>
          <cell r="J72">
            <v>37898647930262</v>
          </cell>
          <cell r="K72">
            <v>27898647930265</v>
          </cell>
          <cell r="L72">
            <v>17898647930268</v>
          </cell>
          <cell r="M72" t="str">
            <v>2003.10.00</v>
          </cell>
          <cell r="N72">
            <v>0.12</v>
          </cell>
          <cell r="O72">
            <v>0</v>
          </cell>
          <cell r="P72">
            <v>0</v>
          </cell>
        </row>
        <row r="72">
          <cell r="R72">
            <v>1</v>
          </cell>
          <cell r="S72" t="str">
            <v>1,65% / 7,6%</v>
          </cell>
          <cell r="T72">
            <v>0</v>
          </cell>
          <cell r="U72">
            <v>0</v>
          </cell>
          <cell r="V72">
            <v>12</v>
          </cell>
          <cell r="W72">
            <v>360</v>
          </cell>
          <cell r="X72">
            <v>16</v>
          </cell>
          <cell r="Y72">
            <v>19</v>
          </cell>
          <cell r="Z72">
            <v>38</v>
          </cell>
          <cell r="AA72">
            <v>16.5</v>
          </cell>
          <cell r="AB72">
            <v>18.5</v>
          </cell>
          <cell r="AC72">
            <v>18.5</v>
          </cell>
          <cell r="AD72">
            <v>15</v>
          </cell>
          <cell r="AE72">
            <v>7</v>
          </cell>
        </row>
        <row r="73">
          <cell r="A73">
            <v>5013</v>
          </cell>
          <cell r="B73">
            <v>9684</v>
          </cell>
          <cell r="C73" t="str">
            <v>CHAMPIGNON FATIADO BALDE 2 KG</v>
          </cell>
          <cell r="D73">
            <v>3.55</v>
          </cell>
          <cell r="E73" t="str">
            <v>3 KG</v>
          </cell>
          <cell r="F73">
            <v>2</v>
          </cell>
          <cell r="G73">
            <v>4</v>
          </cell>
          <cell r="H73">
            <v>2</v>
          </cell>
          <cell r="I73">
            <v>7898647930278</v>
          </cell>
          <cell r="J73">
            <v>37898647930279</v>
          </cell>
          <cell r="K73">
            <v>27898647930272</v>
          </cell>
          <cell r="L73">
            <v>17898647930275</v>
          </cell>
          <cell r="M73" t="str">
            <v>2003.10.00</v>
          </cell>
          <cell r="N73">
            <v>0.12</v>
          </cell>
          <cell r="O73">
            <v>0</v>
          </cell>
          <cell r="P73">
            <v>0</v>
          </cell>
        </row>
        <row r="73">
          <cell r="R73">
            <v>1</v>
          </cell>
          <cell r="S73" t="str">
            <v>1,65% / 7,6%</v>
          </cell>
          <cell r="T73">
            <v>0</v>
          </cell>
          <cell r="U73">
            <v>0</v>
          </cell>
          <cell r="V73">
            <v>12</v>
          </cell>
          <cell r="W73">
            <v>360</v>
          </cell>
          <cell r="X73">
            <v>16</v>
          </cell>
          <cell r="Y73">
            <v>19</v>
          </cell>
          <cell r="Z73">
            <v>38</v>
          </cell>
          <cell r="AA73">
            <v>16.5</v>
          </cell>
          <cell r="AB73">
            <v>18.5</v>
          </cell>
          <cell r="AC73">
            <v>18.5</v>
          </cell>
          <cell r="AD73">
            <v>15</v>
          </cell>
          <cell r="AE73">
            <v>7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E4B7"/>
    <pageSetUpPr fitToPage="false"/>
  </sheetPr>
  <dimension ref="A1:AA33"/>
  <sheetViews>
    <sheetView showFormulas="false" showGridLines="true" showRowColHeaders="true" showZeros="true" rightToLeft="false" tabSelected="false" showOutlineSymbols="true" defaultGridColor="true" view="normal" topLeftCell="P1" colorId="64" zoomScale="100" zoomScaleNormal="100" zoomScalePageLayoutView="100" workbookViewId="0">
      <selection pane="topLeft" activeCell="AA10" activeCellId="1" sqref="A2:J52 AA10"/>
    </sheetView>
  </sheetViews>
  <sheetFormatPr defaultColWidth="12.5625" defaultRowHeight="15.75" zeroHeight="false" outlineLevelRow="0" outlineLevelCol="0"/>
  <cols>
    <col collapsed="false" customWidth="true" hidden="false" outlineLevel="0" max="2" min="2" style="1" width="19.56"/>
    <col collapsed="false" customWidth="true" hidden="false" outlineLevel="0" max="4" min="4" style="1" width="22.33"/>
    <col collapsed="false" customWidth="true" hidden="false" outlineLevel="0" max="5" min="5" style="2" width="22.33"/>
    <col collapsed="false" customWidth="true" hidden="false" outlineLevel="0" max="6" min="6" style="1" width="21.44"/>
    <col collapsed="false" customWidth="true" hidden="false" outlineLevel="0" max="7" min="7" style="2" width="21.44"/>
    <col collapsed="false" customWidth="true" hidden="false" outlineLevel="0" max="8" min="8" style="1" width="15.88"/>
    <col collapsed="false" customWidth="true" hidden="false" outlineLevel="0" max="9" min="9" style="2" width="15.88"/>
    <col collapsed="false" customWidth="true" hidden="false" outlineLevel="0" max="10" min="10" style="1" width="16.67"/>
    <col collapsed="false" customWidth="true" hidden="false" outlineLevel="0" max="11" min="11" style="2" width="16.67"/>
    <col collapsed="false" customWidth="true" hidden="false" outlineLevel="0" max="12" min="12" style="1" width="16.67"/>
    <col collapsed="false" customWidth="true" hidden="false" outlineLevel="0" max="13" min="13" style="2" width="16.67"/>
    <col collapsed="false" customWidth="true" hidden="false" outlineLevel="0" max="15" min="15" style="1" width="19.44"/>
    <col collapsed="false" customWidth="true" hidden="false" outlineLevel="0" max="22" min="22" style="1" width="19.88"/>
  </cols>
  <sheetData>
    <row r="1" customFormat="false" ht="12.75" hidden="false" customHeight="true" outlineLevel="0" collapsed="false">
      <c r="B1" s="3" t="s">
        <v>0</v>
      </c>
      <c r="O1" s="3" t="s">
        <v>1</v>
      </c>
      <c r="V1" s="3" t="s">
        <v>2</v>
      </c>
    </row>
    <row r="2" customFormat="false" ht="15.75" hidden="false" customHeight="false" outlineLevel="0" collapsed="false">
      <c r="B2" s="4" t="s">
        <v>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O2" s="5" t="s">
        <v>4</v>
      </c>
      <c r="P2" s="5"/>
      <c r="Q2" s="5"/>
      <c r="R2" s="5"/>
      <c r="S2" s="5"/>
      <c r="T2" s="5"/>
      <c r="V2" s="3"/>
      <c r="W2" s="5" t="s">
        <v>5</v>
      </c>
      <c r="X2" s="5"/>
      <c r="Y2" s="5"/>
    </row>
    <row r="3" customFormat="false" ht="15.75" hidden="false" customHeight="false" outlineLevel="0" collapsed="false">
      <c r="B3" s="6" t="s">
        <v>6</v>
      </c>
      <c r="C3" s="6" t="s">
        <v>7</v>
      </c>
      <c r="D3" s="6" t="n">
        <v>0.08</v>
      </c>
      <c r="E3" s="7" t="s">
        <v>8</v>
      </c>
      <c r="F3" s="8" t="n">
        <v>0.12</v>
      </c>
      <c r="G3" s="7" t="s">
        <v>8</v>
      </c>
      <c r="H3" s="8" t="n">
        <v>0.15</v>
      </c>
      <c r="I3" s="7" t="s">
        <v>8</v>
      </c>
      <c r="J3" s="8" t="n">
        <v>1.01</v>
      </c>
      <c r="K3" s="7" t="s">
        <v>8</v>
      </c>
      <c r="L3" s="8" t="n">
        <v>0.05</v>
      </c>
      <c r="M3" s="9"/>
      <c r="O3" s="6" t="s">
        <v>6</v>
      </c>
      <c r="P3" s="6" t="s">
        <v>7</v>
      </c>
      <c r="Q3" s="6" t="n">
        <v>0.1</v>
      </c>
      <c r="R3" s="7" t="s">
        <v>8</v>
      </c>
      <c r="S3" s="8" t="n">
        <v>1.01</v>
      </c>
      <c r="T3" s="7" t="s">
        <v>8</v>
      </c>
      <c r="V3" s="6" t="s">
        <v>6</v>
      </c>
      <c r="W3" s="6" t="s">
        <v>7</v>
      </c>
      <c r="X3" s="6" t="n">
        <v>0.4</v>
      </c>
      <c r="Y3" s="7" t="s">
        <v>8</v>
      </c>
      <c r="Z3" s="8" t="n">
        <v>0.2</v>
      </c>
      <c r="AA3" s="7" t="s">
        <v>8</v>
      </c>
    </row>
    <row r="4" customFormat="false" ht="15.75" hidden="false" customHeight="false" outlineLevel="0" collapsed="false">
      <c r="B4" s="10" t="s">
        <v>9</v>
      </c>
      <c r="C4" s="11" t="n">
        <v>0.9544</v>
      </c>
      <c r="D4" s="12" t="n">
        <f aca="false">C4*$D$10</f>
        <v>0.085896</v>
      </c>
      <c r="E4" s="13"/>
      <c r="F4" s="12" t="n">
        <f aca="false">C4*$F$10</f>
        <v>0.14316</v>
      </c>
      <c r="G4" s="13"/>
      <c r="H4" s="12" t="n">
        <f aca="false">C4*$H$10</f>
        <v>0.114528</v>
      </c>
      <c r="I4" s="13"/>
      <c r="J4" s="12" t="n">
        <f aca="false">C4*$J$10</f>
        <v>0.563096</v>
      </c>
      <c r="K4" s="13"/>
      <c r="L4" s="12"/>
      <c r="M4" s="13"/>
      <c r="O4" s="10" t="s">
        <v>9</v>
      </c>
      <c r="P4" s="11" t="n">
        <v>0.9404</v>
      </c>
      <c r="Q4" s="12" t="n">
        <f aca="false">P4*$Q$11</f>
        <v>0.065828</v>
      </c>
      <c r="R4" s="12"/>
      <c r="S4" s="12" t="n">
        <f aca="false">$S$11*P4</f>
        <v>0.554836</v>
      </c>
      <c r="T4" s="12"/>
      <c r="V4" s="10" t="s">
        <v>9</v>
      </c>
      <c r="W4" s="11" t="n">
        <v>0.9367</v>
      </c>
      <c r="X4" s="12" t="n">
        <f aca="false">W4*$X$10</f>
        <v>0.393414</v>
      </c>
      <c r="Z4" s="12"/>
      <c r="AA4" s="13"/>
    </row>
    <row r="5" customFormat="false" ht="15.75" hidden="false" customHeight="false" outlineLevel="0" collapsed="false">
      <c r="A5" s="1" t="n">
        <v>9794</v>
      </c>
      <c r="B5" s="10" t="s">
        <v>10</v>
      </c>
      <c r="C5" s="11" t="n">
        <v>0.0427</v>
      </c>
      <c r="D5" s="12" t="n">
        <f aca="false">C5*$D$10</f>
        <v>0.003843</v>
      </c>
      <c r="E5" s="13" t="n">
        <f aca="false">VLOOKUP($A5,INSUMOS!$B:$D,3,0)*D5</f>
        <v>0.0826245</v>
      </c>
      <c r="F5" s="12" t="n">
        <f aca="false">C5*$F$10</f>
        <v>0.006405</v>
      </c>
      <c r="G5" s="13" t="n">
        <f aca="false">VLOOKUP($A5,INSUMOS!$B:$D,3,0)*F5</f>
        <v>0.1377075</v>
      </c>
      <c r="H5" s="12" t="n">
        <f aca="false">C5*$H$10</f>
        <v>0.005124</v>
      </c>
      <c r="I5" s="13" t="n">
        <f aca="false">VLOOKUP($A5,INSUMOS!$B:$D,3,0)*H5</f>
        <v>0.110166</v>
      </c>
      <c r="J5" s="12" t="n">
        <f aca="false">C5*$J$10</f>
        <v>0.025193</v>
      </c>
      <c r="K5" s="13" t="n">
        <f aca="false">VLOOKUP($A5,INSUMOS!$B:$D,3,0)*J5</f>
        <v>0.5416495</v>
      </c>
      <c r="L5" s="12" t="n">
        <f aca="false">C5*$L$10</f>
        <v>0.005124</v>
      </c>
      <c r="M5" s="13" t="n">
        <f aca="false">VLOOKUP($A5,INSUMOS!$B:$D,3,0)*L5</f>
        <v>0.110166</v>
      </c>
      <c r="N5" s="1" t="n">
        <v>9794</v>
      </c>
      <c r="O5" s="10" t="s">
        <v>11</v>
      </c>
      <c r="P5" s="11" t="n">
        <v>0.054</v>
      </c>
      <c r="Q5" s="12" t="n">
        <f aca="false">P5*$Q$11</f>
        <v>0.00378</v>
      </c>
      <c r="R5" s="13" t="n">
        <f aca="false">VLOOKUP($N5,INSUMOS!$B:$D,3,0)*Q5</f>
        <v>0.08127</v>
      </c>
      <c r="S5" s="12" t="n">
        <f aca="false">$S$11*P5</f>
        <v>0.03186</v>
      </c>
      <c r="T5" s="13" t="n">
        <f aca="false">VLOOKUP($N5,INSUMOS!$B:$D,3,0)*S5</f>
        <v>0.68499</v>
      </c>
      <c r="U5" s="1" t="n">
        <v>9794</v>
      </c>
      <c r="V5" s="10" t="s">
        <v>11</v>
      </c>
      <c r="W5" s="11" t="n">
        <v>0.06</v>
      </c>
      <c r="X5" s="12" t="n">
        <f aca="false">W5*$X$10</f>
        <v>0.0252</v>
      </c>
      <c r="Y5" s="13" t="n">
        <f aca="false">VLOOKUP($U5,INSUMOS!$B:$D,3,0)*X5</f>
        <v>0.5418</v>
      </c>
      <c r="Z5" s="12" t="n">
        <f aca="false">W5*$Z$10</f>
        <v>0.0111</v>
      </c>
      <c r="AA5" s="13" t="n">
        <f aca="false">VLOOKUP($U5,INSUMOS!$B:$D,3,0)*Z5</f>
        <v>0.23865</v>
      </c>
    </row>
    <row r="6" customFormat="false" ht="15.75" hidden="false" customHeight="false" outlineLevel="0" collapsed="false">
      <c r="A6" s="1" t="n">
        <v>9789</v>
      </c>
      <c r="B6" s="10" t="s">
        <v>12</v>
      </c>
      <c r="C6" s="11" t="n">
        <v>0.0016</v>
      </c>
      <c r="D6" s="12" t="n">
        <f aca="false">C6*$D$10</f>
        <v>0.000144</v>
      </c>
      <c r="E6" s="13" t="n">
        <f aca="false">VLOOKUP($A6,INSUMOS!$B:$D,3,0)*D6</f>
        <v>0.0017856</v>
      </c>
      <c r="F6" s="12" t="n">
        <f aca="false">C6*$F$10</f>
        <v>0.00024</v>
      </c>
      <c r="G6" s="13" t="n">
        <f aca="false">VLOOKUP($A6,INSUMOS!$B:$D,3,0)*F6</f>
        <v>0.002976</v>
      </c>
      <c r="H6" s="12" t="n">
        <f aca="false">C6*$H$10</f>
        <v>0.000192</v>
      </c>
      <c r="I6" s="13" t="n">
        <f aca="false">VLOOKUP($A6,INSUMOS!$B:$D,3,0)*H6</f>
        <v>0.0023808</v>
      </c>
      <c r="J6" s="12" t="n">
        <f aca="false">C6*$J$10</f>
        <v>0.000944</v>
      </c>
      <c r="K6" s="13" t="n">
        <f aca="false">VLOOKUP($A6,INSUMOS!$B:$D,3,0)*J6</f>
        <v>0.0117056</v>
      </c>
      <c r="L6" s="12" t="n">
        <f aca="false">C6*$L$10</f>
        <v>0.000192</v>
      </c>
      <c r="M6" s="13" t="n">
        <f aca="false">VLOOKUP($A6,INSUMOS!$B:$D,3,0)*L6</f>
        <v>0.0023808</v>
      </c>
      <c r="N6" s="1" t="n">
        <v>9789</v>
      </c>
      <c r="O6" s="10" t="s">
        <v>12</v>
      </c>
      <c r="P6" s="11" t="n">
        <v>0.002</v>
      </c>
      <c r="Q6" s="12" t="n">
        <f aca="false">P6*$Q$11</f>
        <v>0.00014</v>
      </c>
      <c r="R6" s="13" t="n">
        <f aca="false">VLOOKUP($N6,INSUMOS!$B:$D,3,0)*Q6</f>
        <v>0.001736</v>
      </c>
      <c r="S6" s="12" t="n">
        <f aca="false">$S$11*P6</f>
        <v>0.00118</v>
      </c>
      <c r="T6" s="13" t="n">
        <f aca="false">VLOOKUP($N6,INSUMOS!$B:$D,3,0)*S6</f>
        <v>0.014632</v>
      </c>
      <c r="U6" s="1" t="n">
        <v>9789</v>
      </c>
      <c r="V6" s="10" t="s">
        <v>12</v>
      </c>
      <c r="W6" s="11" t="n">
        <v>0.002</v>
      </c>
      <c r="X6" s="12" t="n">
        <f aca="false">W6*$X$10</f>
        <v>0.00084</v>
      </c>
      <c r="Y6" s="13" t="n">
        <f aca="false">VLOOKUP($U6,INSUMOS!$B:$D,3,0)*X6</f>
        <v>0.010416</v>
      </c>
      <c r="Z6" s="12" t="n">
        <f aca="false">W6*$Z$10</f>
        <v>0.00037</v>
      </c>
      <c r="AA6" s="13" t="n">
        <f aca="false">VLOOKUP($U6,INSUMOS!$B:$D,3,0)*Z6</f>
        <v>0.004588</v>
      </c>
    </row>
    <row r="7" customFormat="false" ht="15.75" hidden="false" customHeight="false" outlineLevel="0" collapsed="false">
      <c r="A7" s="1" t="n">
        <v>9511</v>
      </c>
      <c r="B7" s="10" t="s">
        <v>13</v>
      </c>
      <c r="C7" s="11" t="n">
        <v>0.0005</v>
      </c>
      <c r="D7" s="12" t="n">
        <f aca="false">C7*$D$10</f>
        <v>4.5E-005</v>
      </c>
      <c r="E7" s="13" t="n">
        <f aca="false">VLOOKUP($A7,INSUMOS!$B:$D,3,0)*D7</f>
        <v>0.000684</v>
      </c>
      <c r="F7" s="12" t="n">
        <f aca="false">C7*$F$10</f>
        <v>7.5E-005</v>
      </c>
      <c r="G7" s="13" t="n">
        <f aca="false">VLOOKUP($A7,INSUMOS!$B:$D,3,0)*F7</f>
        <v>0.00114</v>
      </c>
      <c r="H7" s="12" t="n">
        <f aca="false">C7*$H$10</f>
        <v>6E-005</v>
      </c>
      <c r="I7" s="13" t="n">
        <f aca="false">VLOOKUP($A7,INSUMOS!$B:$D,3,0)*H7</f>
        <v>0.000912</v>
      </c>
      <c r="J7" s="12" t="n">
        <f aca="false">C7*$J$10</f>
        <v>0.000295</v>
      </c>
      <c r="K7" s="13" t="n">
        <f aca="false">VLOOKUP($A7,INSUMOS!$B:$D,3,0)*J7</f>
        <v>0.004484</v>
      </c>
      <c r="L7" s="12" t="n">
        <f aca="false">C7*$L$10</f>
        <v>6E-005</v>
      </c>
      <c r="M7" s="13" t="n">
        <f aca="false">VLOOKUP($A7,INSUMOS!$B:$D,3,0)*L7</f>
        <v>0.000912</v>
      </c>
      <c r="N7" s="1" t="n">
        <v>9511</v>
      </c>
      <c r="O7" s="10" t="s">
        <v>13</v>
      </c>
      <c r="P7" s="11" t="n">
        <v>0.0015</v>
      </c>
      <c r="Q7" s="12" t="n">
        <f aca="false">P7*$Q$11</f>
        <v>0.000105</v>
      </c>
      <c r="R7" s="13" t="n">
        <f aca="false">VLOOKUP($N7,INSUMOS!$B:$D,3,0)*Q7</f>
        <v>0.001596</v>
      </c>
      <c r="S7" s="12" t="n">
        <f aca="false">$S$11*P7</f>
        <v>0.000885</v>
      </c>
      <c r="T7" s="13" t="n">
        <f aca="false">VLOOKUP($N7,INSUMOS!$B:$D,3,0)*S7</f>
        <v>0.013452</v>
      </c>
      <c r="U7" s="1" t="n">
        <v>9792</v>
      </c>
      <c r="V7" s="10" t="s">
        <v>14</v>
      </c>
      <c r="W7" s="11" t="n">
        <v>0.0005</v>
      </c>
      <c r="X7" s="12" t="n">
        <f aca="false">W7*$X$10</f>
        <v>0.00021</v>
      </c>
      <c r="Y7" s="13" t="n">
        <f aca="false">VLOOKUP($U7,INSUMOS!$B:$D,3,0)*X7</f>
        <v>0.005964</v>
      </c>
      <c r="Z7" s="12" t="n">
        <f aca="false">W7*$Z$10</f>
        <v>9.25E-005</v>
      </c>
      <c r="AA7" s="13" t="n">
        <f aca="false">VLOOKUP($U7,INSUMOS!$B:$D,3,0)*Z7</f>
        <v>0.002627</v>
      </c>
    </row>
    <row r="8" customFormat="false" ht="15.75" hidden="false" customHeight="false" outlineLevel="0" collapsed="false">
      <c r="A8" s="1" t="n">
        <v>9792</v>
      </c>
      <c r="B8" s="10" t="s">
        <v>14</v>
      </c>
      <c r="C8" s="11" t="n">
        <v>0.0003</v>
      </c>
      <c r="D8" s="12" t="n">
        <f aca="false">C8*$D$10</f>
        <v>2.7E-005</v>
      </c>
      <c r="E8" s="13" t="n">
        <f aca="false">VLOOKUP($A8,INSUMOS!$B:$D,3,0)*D8</f>
        <v>0.0007668</v>
      </c>
      <c r="F8" s="12" t="n">
        <f aca="false">C8*$F$10</f>
        <v>4.5E-005</v>
      </c>
      <c r="G8" s="13" t="n">
        <f aca="false">VLOOKUP($A8,INSUMOS!$B:$D,3,0)*F8</f>
        <v>0.001278</v>
      </c>
      <c r="H8" s="12" t="n">
        <f aca="false">C8*$H$10</f>
        <v>3.6E-005</v>
      </c>
      <c r="I8" s="13" t="n">
        <f aca="false">VLOOKUP($A8,INSUMOS!$B:$D,3,0)*H8</f>
        <v>0.0010224</v>
      </c>
      <c r="J8" s="12" t="n">
        <f aca="false">C8*$J$10</f>
        <v>0.000177</v>
      </c>
      <c r="K8" s="13" t="n">
        <f aca="false">VLOOKUP($A8,INSUMOS!$B:$D,3,0)*J8</f>
        <v>0.0050268</v>
      </c>
      <c r="L8" s="12" t="n">
        <f aca="false">C8*$L$10</f>
        <v>3.6E-005</v>
      </c>
      <c r="M8" s="13" t="n">
        <f aca="false">VLOOKUP($A8,INSUMOS!$B:$D,3,0)*L8</f>
        <v>0.0010224</v>
      </c>
      <c r="N8" s="1" t="n">
        <v>9792</v>
      </c>
      <c r="O8" s="10" t="s">
        <v>14</v>
      </c>
      <c r="P8" s="11" t="n">
        <v>0.001</v>
      </c>
      <c r="Q8" s="12" t="n">
        <f aca="false">P8*$Q$11</f>
        <v>7E-005</v>
      </c>
      <c r="R8" s="13" t="n">
        <f aca="false">VLOOKUP($N8,INSUMOS!$B:$D,3,0)*Q8</f>
        <v>0.001988</v>
      </c>
      <c r="S8" s="12" t="n">
        <f aca="false">$S$11*P8</f>
        <v>0.00059</v>
      </c>
      <c r="T8" s="13" t="n">
        <f aca="false">VLOOKUP($N8,INSUMOS!$B:$D,3,0)*S8</f>
        <v>0.016756</v>
      </c>
      <c r="U8" s="1" t="n">
        <v>9790</v>
      </c>
      <c r="V8" s="10" t="s">
        <v>15</v>
      </c>
      <c r="W8" s="11" t="n">
        <v>0.0005</v>
      </c>
      <c r="X8" s="12" t="n">
        <f aca="false">W8*$X$10</f>
        <v>0.00021</v>
      </c>
      <c r="Y8" s="13" t="n">
        <f aca="false">VLOOKUP($U8,INSUMOS!$B:$D,3,0)*X8</f>
        <v>0.005397</v>
      </c>
      <c r="Z8" s="12" t="n">
        <f aca="false">W8*$Z$10</f>
        <v>9.25E-005</v>
      </c>
      <c r="AA8" s="13" t="n">
        <f aca="false">VLOOKUP($U8,INSUMOS!$B:$D,3,0)*Z8</f>
        <v>0.00237725</v>
      </c>
    </row>
    <row r="9" customFormat="false" ht="15.75" hidden="false" customHeight="false" outlineLevel="0" collapsed="false">
      <c r="A9" s="1" t="n">
        <v>9790</v>
      </c>
      <c r="B9" s="10" t="s">
        <v>15</v>
      </c>
      <c r="C9" s="11" t="n">
        <v>0.0005</v>
      </c>
      <c r="D9" s="12" t="n">
        <f aca="false">C9*$D$10</f>
        <v>4.5E-005</v>
      </c>
      <c r="E9" s="13" t="n">
        <f aca="false">VLOOKUP($A9,INSUMOS!$B:$D,3,0)*D9</f>
        <v>0.0011565</v>
      </c>
      <c r="F9" s="12" t="n">
        <f aca="false">C9*$F$10</f>
        <v>7.5E-005</v>
      </c>
      <c r="G9" s="13" t="n">
        <f aca="false">VLOOKUP($A9,INSUMOS!$B:$D,3,0)*F9</f>
        <v>0.0019275</v>
      </c>
      <c r="H9" s="12" t="n">
        <f aca="false">C9*$H$10</f>
        <v>6E-005</v>
      </c>
      <c r="I9" s="13" t="n">
        <f aca="false">VLOOKUP($A9,INSUMOS!$B:$D,3,0)*H9</f>
        <v>0.001542</v>
      </c>
      <c r="J9" s="12" t="n">
        <f aca="false">C9*$J$10</f>
        <v>0.000295</v>
      </c>
      <c r="K9" s="13" t="n">
        <f aca="false">VLOOKUP($A9,INSUMOS!$B:$D,3,0)*J9</f>
        <v>0.0075815</v>
      </c>
      <c r="L9" s="12" t="n">
        <f aca="false">C9*$L$10</f>
        <v>6E-005</v>
      </c>
      <c r="M9" s="13" t="n">
        <f aca="false">VLOOKUP($A9,INSUMOS!$B:$D,3,0)*L9</f>
        <v>0.001542</v>
      </c>
      <c r="N9" s="1" t="n">
        <v>9790</v>
      </c>
      <c r="O9" s="10" t="s">
        <v>15</v>
      </c>
      <c r="P9" s="11" t="n">
        <v>0.001</v>
      </c>
      <c r="Q9" s="12" t="n">
        <f aca="false">P9*$Q$11</f>
        <v>7E-005</v>
      </c>
      <c r="R9" s="13" t="n">
        <f aca="false">VLOOKUP($N9,INSUMOS!$B:$D,3,0)*Q9</f>
        <v>0.001799</v>
      </c>
      <c r="S9" s="12" t="n">
        <f aca="false">$S$11*P9</f>
        <v>0.00059</v>
      </c>
      <c r="T9" s="13" t="n">
        <f aca="false">VLOOKUP($N9,INSUMOS!$B:$D,3,0)*S9</f>
        <v>0.015163</v>
      </c>
      <c r="U9" s="1" t="n">
        <v>11342</v>
      </c>
      <c r="V9" s="10" t="s">
        <v>16</v>
      </c>
      <c r="W9" s="11" t="n">
        <v>0.0003</v>
      </c>
      <c r="X9" s="12" t="n">
        <f aca="false">W9*$X$10</f>
        <v>0.000126</v>
      </c>
      <c r="Y9" s="13" t="n">
        <f aca="false">VLOOKUP($U9,INSUMOS!$B:$D,3,0)*X9</f>
        <v>0.001575</v>
      </c>
      <c r="Z9" s="12" t="n">
        <f aca="false">W9*$Z$10</f>
        <v>5.55E-005</v>
      </c>
      <c r="AA9" s="13" t="n">
        <f aca="false">VLOOKUP($U9,INSUMOS!$B:$D,3,0)*Z9</f>
        <v>0.00069375</v>
      </c>
    </row>
    <row r="10" customFormat="false" ht="15.75" hidden="false" customHeight="false" outlineLevel="0" collapsed="false">
      <c r="B10" s="14" t="s">
        <v>17</v>
      </c>
      <c r="C10" s="15" t="n">
        <v>1</v>
      </c>
      <c r="D10" s="16" t="n">
        <v>0.09</v>
      </c>
      <c r="E10" s="17" t="n">
        <f aca="false">SUM(E5:E9)</f>
        <v>0.0870174</v>
      </c>
      <c r="F10" s="16" t="n">
        <v>0.15</v>
      </c>
      <c r="G10" s="17" t="n">
        <f aca="false">SUM(G5:G9)</f>
        <v>0.145029</v>
      </c>
      <c r="H10" s="16" t="n">
        <v>0.12</v>
      </c>
      <c r="I10" s="17" t="n">
        <f aca="false">SUM(I5:I9)</f>
        <v>0.1160232</v>
      </c>
      <c r="J10" s="16" t="n">
        <v>0.59</v>
      </c>
      <c r="K10" s="17" t="n">
        <f aca="false">SUM(K5:K9)</f>
        <v>0.5704474</v>
      </c>
      <c r="L10" s="12" t="n">
        <v>0.12</v>
      </c>
      <c r="M10" s="17" t="n">
        <f aca="false">SUM(M5:M9)</f>
        <v>0.1160232</v>
      </c>
      <c r="N10" s="1" t="n">
        <v>10718</v>
      </c>
      <c r="O10" s="10" t="s">
        <v>18</v>
      </c>
      <c r="P10" s="11" t="n">
        <v>5E-005</v>
      </c>
      <c r="Q10" s="12" t="n">
        <f aca="false">P10*$Q$11</f>
        <v>3.5E-006</v>
      </c>
      <c r="R10" s="13" t="n">
        <f aca="false">VLOOKUP($N10,INSUMOS!$B:$D,3,0)*Q10</f>
        <v>3.115E-005</v>
      </c>
      <c r="S10" s="12" t="n">
        <f aca="false">$S$11*P10</f>
        <v>2.95E-005</v>
      </c>
      <c r="T10" s="13" t="n">
        <f aca="false">VLOOKUP($N10,INSUMOS!$B:$D,3,0)*S10</f>
        <v>0.00026255</v>
      </c>
      <c r="V10" s="14" t="s">
        <v>17</v>
      </c>
      <c r="W10" s="11" t="n">
        <v>1</v>
      </c>
      <c r="X10" s="12" t="n">
        <v>0.42</v>
      </c>
      <c r="Y10" s="18" t="n">
        <f aca="false">SUM(Y5:Y9)</f>
        <v>0.565152</v>
      </c>
      <c r="Z10" s="12" t="n">
        <v>0.185</v>
      </c>
      <c r="AA10" s="18" t="n">
        <f aca="false">SUM(AA5:AA9)</f>
        <v>0.248936</v>
      </c>
    </row>
    <row r="11" customFormat="false" ht="15.75" hidden="false" customHeight="false" outlineLevel="0" collapsed="false">
      <c r="B11" s="14"/>
      <c r="C11" s="15"/>
      <c r="D11" s="16"/>
      <c r="E11" s="17"/>
      <c r="F11" s="16"/>
      <c r="G11" s="17"/>
      <c r="H11" s="16"/>
      <c r="I11" s="17"/>
      <c r="J11" s="16"/>
      <c r="K11" s="17"/>
      <c r="L11" s="12"/>
      <c r="M11" s="13"/>
      <c r="O11" s="14" t="s">
        <v>17</v>
      </c>
      <c r="P11" s="11" t="n">
        <v>1</v>
      </c>
      <c r="Q11" s="12" t="n">
        <v>0.07</v>
      </c>
      <c r="R11" s="17" t="n">
        <f aca="false">SUM(R5:R10)</f>
        <v>0.08842015</v>
      </c>
      <c r="S11" s="12" t="n">
        <v>0.59</v>
      </c>
      <c r="T11" s="17" t="n">
        <f aca="false">SUM(T5:T10)</f>
        <v>0.74525555</v>
      </c>
      <c r="V11" s="14"/>
      <c r="W11" s="11"/>
      <c r="X11" s="12"/>
    </row>
    <row r="12" customFormat="false" ht="12.75" hidden="false" customHeight="true" outlineLevel="0" collapsed="false">
      <c r="B12" s="19" t="s">
        <v>19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V12" s="14"/>
    </row>
    <row r="13" customFormat="false" ht="15.75" hidden="false" customHeight="false" outlineLevel="0" collapsed="false">
      <c r="B13" s="6" t="s">
        <v>6</v>
      </c>
      <c r="C13" s="6" t="s">
        <v>7</v>
      </c>
      <c r="D13" s="6" t="n">
        <v>0.16</v>
      </c>
      <c r="E13" s="7" t="s">
        <v>8</v>
      </c>
      <c r="F13" s="8" t="n">
        <v>0.2</v>
      </c>
      <c r="G13" s="7" t="s">
        <v>8</v>
      </c>
      <c r="H13" s="8" t="n">
        <v>0.5</v>
      </c>
      <c r="I13" s="7" t="s">
        <v>8</v>
      </c>
      <c r="J13" s="8" t="n">
        <v>0.45</v>
      </c>
      <c r="K13" s="7" t="s">
        <v>8</v>
      </c>
      <c r="L13" s="8" t="n">
        <v>0.4</v>
      </c>
      <c r="M13" s="7" t="s">
        <v>8</v>
      </c>
      <c r="O13" s="5" t="s">
        <v>20</v>
      </c>
      <c r="P13" s="5"/>
      <c r="Q13" s="5"/>
      <c r="R13" s="5"/>
      <c r="S13" s="5"/>
      <c r="T13" s="5"/>
      <c r="V13" s="5" t="s">
        <v>21</v>
      </c>
      <c r="W13" s="5"/>
      <c r="X13" s="5"/>
      <c r="Y13" s="5"/>
    </row>
    <row r="14" customFormat="false" ht="15" hidden="false" customHeight="true" outlineLevel="0" collapsed="false">
      <c r="B14" s="10" t="s">
        <v>9</v>
      </c>
      <c r="C14" s="11" t="n">
        <v>0.9539</v>
      </c>
      <c r="D14" s="12" t="n">
        <f aca="false">C14*$F$18</f>
        <v>0.1764715</v>
      </c>
      <c r="E14" s="13"/>
      <c r="F14" s="12" t="n">
        <v>0.305248</v>
      </c>
      <c r="G14" s="13"/>
      <c r="H14" s="12" t="n">
        <v>0.305248</v>
      </c>
      <c r="I14" s="20"/>
      <c r="J14" s="12" t="n">
        <v>0.305248</v>
      </c>
      <c r="K14" s="20"/>
      <c r="L14" s="12" t="n">
        <v>0.305248</v>
      </c>
      <c r="M14" s="20"/>
      <c r="O14" s="6" t="s">
        <v>6</v>
      </c>
      <c r="P14" s="6" t="s">
        <v>7</v>
      </c>
      <c r="Q14" s="6" t="n">
        <v>0.2</v>
      </c>
      <c r="R14" s="7" t="s">
        <v>8</v>
      </c>
      <c r="S14" s="8" t="n">
        <v>0.16</v>
      </c>
      <c r="T14" s="7" t="s">
        <v>8</v>
      </c>
      <c r="V14" s="6" t="s">
        <v>6</v>
      </c>
      <c r="W14" s="6" t="s">
        <v>7</v>
      </c>
      <c r="X14" s="6" t="n">
        <v>2</v>
      </c>
      <c r="Y14" s="7" t="s">
        <v>8</v>
      </c>
    </row>
    <row r="15" customFormat="false" ht="15.75" hidden="false" customHeight="false" outlineLevel="0" collapsed="false">
      <c r="A15" s="1" t="n">
        <v>9794</v>
      </c>
      <c r="B15" s="10" t="s">
        <v>11</v>
      </c>
      <c r="C15" s="11" t="n">
        <v>0.044</v>
      </c>
      <c r="D15" s="12" t="n">
        <f aca="false">C15*$D$18</f>
        <v>0.00814</v>
      </c>
      <c r="E15" s="13" t="n">
        <f aca="false">VLOOKUP($A15,INSUMOS!$B:$D,3,0)*D15</f>
        <v>0.17501</v>
      </c>
      <c r="F15" s="12" t="n">
        <v>0.00814</v>
      </c>
      <c r="G15" s="13" t="n">
        <f aca="false">VLOOKUP($A15,INSUMOS!$B:$D,3,0)*F15</f>
        <v>0.17501</v>
      </c>
      <c r="H15" s="12" t="n">
        <v>0.01408</v>
      </c>
      <c r="I15" s="13" t="n">
        <f aca="false">VLOOKUP($A15,INSUMOS!$B:$D,3,0)*H15</f>
        <v>0.30272</v>
      </c>
      <c r="J15" s="12" t="n">
        <v>0.01408</v>
      </c>
      <c r="K15" s="13" t="n">
        <f aca="false">VLOOKUP($A15,INSUMOS!$B:$D,3,0)*J15</f>
        <v>0.30272</v>
      </c>
      <c r="L15" s="12" t="n">
        <v>0.01408</v>
      </c>
      <c r="M15" s="13" t="n">
        <f aca="false">VLOOKUP($A15,INSUMOS!$B:$D,3,0)*L15</f>
        <v>0.30272</v>
      </c>
      <c r="O15" s="10" t="s">
        <v>9</v>
      </c>
      <c r="P15" s="11" t="n">
        <v>0.9404</v>
      </c>
      <c r="Q15" s="12" t="n">
        <f aca="false">P15*$Q$22</f>
        <v>0.136358</v>
      </c>
      <c r="R15" s="12"/>
      <c r="S15" s="12" t="n">
        <v>0.136358</v>
      </c>
      <c r="T15" s="12"/>
      <c r="V15" s="10" t="s">
        <v>9</v>
      </c>
      <c r="W15" s="11" t="n">
        <v>0.9367</v>
      </c>
      <c r="X15" s="12" t="n">
        <f aca="false">W15*$X$21</f>
        <v>0.9367</v>
      </c>
    </row>
    <row r="16" customFormat="false" ht="15.75" hidden="false" customHeight="false" outlineLevel="0" collapsed="false">
      <c r="A16" s="1" t="n">
        <v>9789</v>
      </c>
      <c r="B16" s="10" t="s">
        <v>12</v>
      </c>
      <c r="C16" s="11" t="n">
        <v>0.0016</v>
      </c>
      <c r="D16" s="12" t="n">
        <f aca="false">C16*$D$18</f>
        <v>0.000296</v>
      </c>
      <c r="E16" s="13" t="n">
        <f aca="false">VLOOKUP($A16,INSUMOS!$B:$D,3,0)*D16</f>
        <v>0.0036704</v>
      </c>
      <c r="F16" s="12" t="n">
        <v>0.000296</v>
      </c>
      <c r="G16" s="13" t="n">
        <f aca="false">VLOOKUP($A16,INSUMOS!$B:$D,3,0)*F16</f>
        <v>0.0036704</v>
      </c>
      <c r="H16" s="12" t="n">
        <v>0.000512</v>
      </c>
      <c r="I16" s="13" t="n">
        <f aca="false">VLOOKUP($A16,INSUMOS!$B:$D,3,0)*H16</f>
        <v>0.0063488</v>
      </c>
      <c r="J16" s="12" t="n">
        <v>0.000512</v>
      </c>
      <c r="K16" s="13" t="n">
        <f aca="false">VLOOKUP($A16,INSUMOS!$B:$D,3,0)*J16</f>
        <v>0.0063488</v>
      </c>
      <c r="L16" s="12" t="n">
        <v>0.000512</v>
      </c>
      <c r="M16" s="13" t="n">
        <f aca="false">VLOOKUP($A16,INSUMOS!$B:$D,3,0)*L16</f>
        <v>0.0063488</v>
      </c>
      <c r="N16" s="1" t="n">
        <v>9794</v>
      </c>
      <c r="O16" s="10" t="s">
        <v>11</v>
      </c>
      <c r="P16" s="11" t="n">
        <v>0.054</v>
      </c>
      <c r="Q16" s="12" t="n">
        <f aca="false">P16*$Q$22</f>
        <v>0.00783</v>
      </c>
      <c r="R16" s="13" t="n">
        <f aca="false">VLOOKUP($N16,INSUMOS!$B:$D,3,0)*Q16</f>
        <v>0.168345</v>
      </c>
      <c r="S16" s="12" t="n">
        <v>0.00783</v>
      </c>
      <c r="T16" s="13" t="n">
        <f aca="false">VLOOKUP($N16,INSUMOS!$B:$D,3,0)*S16</f>
        <v>0.168345</v>
      </c>
      <c r="U16" s="1" t="n">
        <v>9794</v>
      </c>
      <c r="V16" s="10" t="s">
        <v>11</v>
      </c>
      <c r="W16" s="11" t="n">
        <v>0.06</v>
      </c>
      <c r="X16" s="12" t="n">
        <f aca="false">W16*$X$21</f>
        <v>0.06</v>
      </c>
      <c r="Y16" s="13" t="n">
        <f aca="false">VLOOKUP($U16,INSUMOS!$B:$D,3,0)*X16</f>
        <v>1.29</v>
      </c>
    </row>
    <row r="17" customFormat="false" ht="15.75" hidden="false" customHeight="false" outlineLevel="0" collapsed="false">
      <c r="A17" s="1" t="n">
        <v>9791</v>
      </c>
      <c r="B17" s="10" t="s">
        <v>22</v>
      </c>
      <c r="C17" s="11" t="n">
        <v>0.0005</v>
      </c>
      <c r="D17" s="12" t="n">
        <f aca="false">C17*$D$18</f>
        <v>9.25E-005</v>
      </c>
      <c r="E17" s="13" t="n">
        <f aca="false">VLOOKUP($A17,INSUMOS!$B:$D,3,0)*D17</f>
        <v>0.0019425</v>
      </c>
      <c r="F17" s="12" t="n">
        <v>9.25E-005</v>
      </c>
      <c r="G17" s="13" t="n">
        <f aca="false">VLOOKUP($A17,INSUMOS!$B:$D,3,0)*F17</f>
        <v>0.0019425</v>
      </c>
      <c r="H17" s="12" t="n">
        <v>0.00016</v>
      </c>
      <c r="I17" s="13" t="n">
        <f aca="false">VLOOKUP($A17,INSUMOS!$B:$D,3,0)*H17</f>
        <v>0.00336</v>
      </c>
      <c r="J17" s="12" t="n">
        <v>0.00016</v>
      </c>
      <c r="K17" s="13" t="n">
        <f aca="false">VLOOKUP($A17,INSUMOS!$B:$D,3,0)*J17</f>
        <v>0.00336</v>
      </c>
      <c r="L17" s="12" t="n">
        <v>0.00016</v>
      </c>
      <c r="M17" s="13" t="n">
        <f aca="false">VLOOKUP($A17,INSUMOS!$B:$D,3,0)*L17</f>
        <v>0.00336</v>
      </c>
      <c r="N17" s="1" t="n">
        <v>9789</v>
      </c>
      <c r="O17" s="10" t="s">
        <v>12</v>
      </c>
      <c r="P17" s="11" t="n">
        <v>0.002</v>
      </c>
      <c r="Q17" s="12" t="n">
        <f aca="false">P17*$Q$22</f>
        <v>0.00029</v>
      </c>
      <c r="R17" s="13" t="n">
        <f aca="false">VLOOKUP($N17,INSUMOS!$B:$D,3,0)*Q17</f>
        <v>0.003596</v>
      </c>
      <c r="S17" s="12" t="n">
        <v>0.00029</v>
      </c>
      <c r="T17" s="13" t="n">
        <f aca="false">VLOOKUP($N17,INSUMOS!$B:$D,3,0)*S17</f>
        <v>0.003596</v>
      </c>
      <c r="U17" s="1" t="n">
        <v>9789</v>
      </c>
      <c r="V17" s="10" t="s">
        <v>12</v>
      </c>
      <c r="W17" s="11" t="n">
        <v>0.002</v>
      </c>
      <c r="X17" s="12" t="n">
        <f aca="false">W17*$X$21</f>
        <v>0.002</v>
      </c>
      <c r="Y17" s="13" t="n">
        <f aca="false">VLOOKUP($U17,INSUMOS!$B:$D,3,0)*X17</f>
        <v>0.0248</v>
      </c>
    </row>
    <row r="18" customFormat="false" ht="15.75" hidden="false" customHeight="false" outlineLevel="0" collapsed="false">
      <c r="B18" s="14" t="s">
        <v>17</v>
      </c>
      <c r="C18" s="15" t="n">
        <v>1</v>
      </c>
      <c r="D18" s="16" t="n">
        <v>0.185</v>
      </c>
      <c r="E18" s="17" t="n">
        <f aca="false">SUM(E13:E17)</f>
        <v>0.1806229</v>
      </c>
      <c r="F18" s="16" t="n">
        <v>0.185</v>
      </c>
      <c r="G18" s="17" t="n">
        <f aca="false">SUM(G13:G17)</f>
        <v>0.1806229</v>
      </c>
      <c r="H18" s="16" t="n">
        <v>0.32</v>
      </c>
      <c r="I18" s="17" t="n">
        <f aca="false">SUM(I13:I17)</f>
        <v>0.3124288</v>
      </c>
      <c r="J18" s="16" t="n">
        <v>0.32</v>
      </c>
      <c r="K18" s="17" t="n">
        <f aca="false">SUM(K13:K17)</f>
        <v>0.3124288</v>
      </c>
      <c r="L18" s="16" t="n">
        <v>0.32</v>
      </c>
      <c r="M18" s="17" t="n">
        <f aca="false">SUM(M13:M17)</f>
        <v>0.3124288</v>
      </c>
      <c r="N18" s="1" t="n">
        <v>9511</v>
      </c>
      <c r="O18" s="10" t="s">
        <v>13</v>
      </c>
      <c r="P18" s="11" t="n">
        <v>0.0015</v>
      </c>
      <c r="Q18" s="12" t="n">
        <f aca="false">P18*$Q$22</f>
        <v>0.0002175</v>
      </c>
      <c r="R18" s="13" t="n">
        <f aca="false">VLOOKUP($N18,INSUMOS!$B:$D,3,0)*Q18</f>
        <v>0.003306</v>
      </c>
      <c r="S18" s="12" t="n">
        <v>0.0002175</v>
      </c>
      <c r="T18" s="13" t="n">
        <f aca="false">VLOOKUP($N18,INSUMOS!$B:$D,3,0)*S18</f>
        <v>0.003306</v>
      </c>
      <c r="U18" s="1" t="n">
        <v>9792</v>
      </c>
      <c r="V18" s="10" t="s">
        <v>14</v>
      </c>
      <c r="W18" s="11" t="n">
        <v>0.0005</v>
      </c>
      <c r="X18" s="12" t="n">
        <f aca="false">W18*$X$21</f>
        <v>0.0005</v>
      </c>
      <c r="Y18" s="13" t="n">
        <f aca="false">VLOOKUP($U18,INSUMOS!$B:$D,3,0)*X18</f>
        <v>0.0142</v>
      </c>
    </row>
    <row r="19" customFormat="false" ht="15.75" hidden="false" customHeight="false" outlineLevel="0" collapsed="false">
      <c r="B19" s="14"/>
      <c r="C19" s="15"/>
      <c r="D19" s="16"/>
      <c r="E19" s="17"/>
      <c r="F19" s="16"/>
      <c r="G19" s="17"/>
      <c r="H19" s="16"/>
      <c r="I19" s="17"/>
      <c r="J19" s="16"/>
      <c r="K19" s="17"/>
      <c r="L19" s="16"/>
      <c r="M19" s="17"/>
      <c r="N19" s="1" t="n">
        <v>9792</v>
      </c>
      <c r="O19" s="10" t="s">
        <v>14</v>
      </c>
      <c r="P19" s="11" t="n">
        <v>0.001</v>
      </c>
      <c r="Q19" s="12" t="n">
        <f aca="false">P19*$Q$22</f>
        <v>0.000145</v>
      </c>
      <c r="R19" s="13" t="n">
        <f aca="false">VLOOKUP($N19,INSUMOS!$B:$D,3,0)*Q19</f>
        <v>0.004118</v>
      </c>
      <c r="S19" s="12" t="n">
        <v>0.000145</v>
      </c>
      <c r="T19" s="13" t="n">
        <f aca="false">VLOOKUP($N19,INSUMOS!$B:$D,3,0)*S19</f>
        <v>0.004118</v>
      </c>
      <c r="U19" s="1" t="n">
        <v>9790</v>
      </c>
      <c r="V19" s="10" t="s">
        <v>15</v>
      </c>
      <c r="W19" s="11" t="n">
        <v>0.0005</v>
      </c>
      <c r="X19" s="12" t="n">
        <f aca="false">W19*$X$21</f>
        <v>0.0005</v>
      </c>
      <c r="Y19" s="13" t="n">
        <f aca="false">VLOOKUP($U19,INSUMOS!$B:$D,3,0)*X19</f>
        <v>0.01285</v>
      </c>
    </row>
    <row r="20" customFormat="false" ht="15.75" hidden="false" customHeight="false" outlineLevel="0" collapsed="false">
      <c r="B20" s="19" t="s">
        <v>23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" t="n">
        <v>9790</v>
      </c>
      <c r="O20" s="10" t="s">
        <v>15</v>
      </c>
      <c r="P20" s="11" t="n">
        <v>0.001</v>
      </c>
      <c r="Q20" s="12" t="n">
        <f aca="false">P20*$Q$22</f>
        <v>0.000145</v>
      </c>
      <c r="R20" s="13" t="n">
        <f aca="false">VLOOKUP($N20,INSUMOS!$B:$D,3,0)*Q20</f>
        <v>0.0037265</v>
      </c>
      <c r="S20" s="12" t="n">
        <v>0.000145</v>
      </c>
      <c r="T20" s="13" t="n">
        <f aca="false">VLOOKUP($N20,INSUMOS!$B:$D,3,0)*S20</f>
        <v>0.0037265</v>
      </c>
      <c r="U20" s="1" t="n">
        <v>11342</v>
      </c>
      <c r="V20" s="10" t="s">
        <v>16</v>
      </c>
      <c r="W20" s="11" t="n">
        <v>0.0003</v>
      </c>
      <c r="X20" s="12" t="n">
        <f aca="false">W20*$X$21</f>
        <v>0.0003</v>
      </c>
      <c r="Y20" s="13" t="n">
        <f aca="false">VLOOKUP($U20,INSUMOS!$B:$D,3,0)*X20</f>
        <v>0.00375</v>
      </c>
    </row>
    <row r="21" customFormat="false" ht="15.75" hidden="false" customHeight="false" outlineLevel="0" collapsed="false">
      <c r="B21" s="6" t="s">
        <v>6</v>
      </c>
      <c r="C21" s="6" t="s">
        <v>7</v>
      </c>
      <c r="D21" s="6" t="n">
        <v>2</v>
      </c>
      <c r="E21" s="7" t="s">
        <v>8</v>
      </c>
      <c r="F21" s="21"/>
      <c r="G21" s="22"/>
      <c r="H21" s="21"/>
      <c r="I21" s="22"/>
      <c r="J21" s="21"/>
      <c r="K21" s="22"/>
      <c r="L21" s="21"/>
      <c r="M21" s="22"/>
      <c r="N21" s="1" t="n">
        <v>10718</v>
      </c>
      <c r="O21" s="10" t="s">
        <v>18</v>
      </c>
      <c r="P21" s="11" t="n">
        <v>5E-005</v>
      </c>
      <c r="Q21" s="12" t="n">
        <f aca="false">P21*$Q$22</f>
        <v>7.25E-006</v>
      </c>
      <c r="R21" s="13" t="n">
        <f aca="false">VLOOKUP($N21,INSUMOS!$B:$D,3,0)*Q21</f>
        <v>6.4525E-005</v>
      </c>
      <c r="S21" s="12" t="n">
        <v>7.25E-006</v>
      </c>
      <c r="T21" s="13" t="n">
        <f aca="false">VLOOKUP($N21,INSUMOS!$B:$D,3,0)*S21</f>
        <v>6.4525E-005</v>
      </c>
      <c r="V21" s="14" t="s">
        <v>17</v>
      </c>
      <c r="W21" s="11" t="n">
        <v>1</v>
      </c>
      <c r="X21" s="12" t="n">
        <v>1</v>
      </c>
      <c r="Y21" s="18" t="n">
        <f aca="false">SUM(Y16:Y20)</f>
        <v>1.3456</v>
      </c>
    </row>
    <row r="22" customFormat="false" ht="15.75" hidden="false" customHeight="false" outlineLevel="0" collapsed="false">
      <c r="B22" s="10" t="s">
        <v>9</v>
      </c>
      <c r="C22" s="11" t="n">
        <v>0.9391</v>
      </c>
      <c r="D22" s="12" t="n">
        <f aca="false">C22*$D$28</f>
        <v>0.9391</v>
      </c>
      <c r="E22" s="13"/>
      <c r="F22" s="23"/>
      <c r="G22" s="20"/>
      <c r="H22" s="23"/>
      <c r="I22" s="20"/>
      <c r="J22" s="23"/>
      <c r="K22" s="20"/>
      <c r="L22" s="23"/>
      <c r="M22" s="20"/>
      <c r="O22" s="14" t="s">
        <v>17</v>
      </c>
      <c r="P22" s="11" t="n">
        <v>1</v>
      </c>
      <c r="Q22" s="12" t="n">
        <v>0.145</v>
      </c>
      <c r="R22" s="17" t="n">
        <f aca="false">SUM(R16:R21)</f>
        <v>0.183156025</v>
      </c>
      <c r="S22" s="12" t="n">
        <v>0.145</v>
      </c>
      <c r="T22" s="17" t="n">
        <f aca="false">SUM(T16:T21)</f>
        <v>0.183156025</v>
      </c>
    </row>
    <row r="23" customFormat="false" ht="15.75" hidden="false" customHeight="false" outlineLevel="0" collapsed="false">
      <c r="A23" s="1" t="n">
        <v>9794</v>
      </c>
      <c r="B23" s="10" t="s">
        <v>11</v>
      </c>
      <c r="C23" s="11" t="n">
        <v>0.058</v>
      </c>
      <c r="D23" s="12" t="n">
        <f aca="false">C23*$D$28</f>
        <v>0.058</v>
      </c>
      <c r="E23" s="13" t="n">
        <f aca="false">VLOOKUP($A23,INSUMOS!$B:$D,3,0)*D23</f>
        <v>1.247</v>
      </c>
      <c r="F23" s="23"/>
      <c r="G23" s="20"/>
      <c r="H23" s="23"/>
      <c r="I23" s="20"/>
      <c r="J23" s="23"/>
      <c r="K23" s="20"/>
      <c r="L23" s="23"/>
      <c r="M23" s="20"/>
    </row>
    <row r="24" customFormat="false" ht="15.75" hidden="false" customHeight="false" outlineLevel="0" collapsed="false">
      <c r="A24" s="1" t="n">
        <v>9789</v>
      </c>
      <c r="B24" s="10" t="s">
        <v>12</v>
      </c>
      <c r="C24" s="11" t="n">
        <v>0.0016</v>
      </c>
      <c r="D24" s="12" t="n">
        <f aca="false">C24*$D$28</f>
        <v>0.0016</v>
      </c>
      <c r="E24" s="13" t="n">
        <f aca="false">VLOOKUP($A24,INSUMOS!$B:$D,3,0)*D24</f>
        <v>0.01984</v>
      </c>
      <c r="F24" s="23"/>
      <c r="G24" s="20"/>
      <c r="H24" s="23"/>
      <c r="I24" s="20"/>
      <c r="J24" s="23"/>
      <c r="K24" s="20"/>
      <c r="L24" s="23"/>
      <c r="M24" s="20"/>
      <c r="O24" s="5" t="s">
        <v>21</v>
      </c>
      <c r="P24" s="5"/>
      <c r="Q24" s="5"/>
      <c r="R24" s="5"/>
      <c r="S24" s="5"/>
      <c r="T24" s="5"/>
    </row>
    <row r="25" customFormat="false" ht="15.75" hidden="false" customHeight="false" outlineLevel="0" collapsed="false">
      <c r="A25" s="1" t="n">
        <v>9511</v>
      </c>
      <c r="B25" s="10" t="s">
        <v>13</v>
      </c>
      <c r="C25" s="11" t="n">
        <v>0.0005</v>
      </c>
      <c r="D25" s="12" t="n">
        <f aca="false">C25*$D$28</f>
        <v>0.0005</v>
      </c>
      <c r="E25" s="13" t="n">
        <f aca="false">VLOOKUP($A25,INSUMOS!$B:$D,3,0)*D25</f>
        <v>0.0076</v>
      </c>
      <c r="F25" s="23"/>
      <c r="G25" s="20"/>
      <c r="H25" s="23"/>
      <c r="I25" s="20"/>
      <c r="J25" s="23"/>
      <c r="K25" s="20"/>
      <c r="L25" s="23"/>
      <c r="M25" s="20"/>
      <c r="O25" s="6" t="s">
        <v>6</v>
      </c>
      <c r="P25" s="6" t="s">
        <v>7</v>
      </c>
      <c r="Q25" s="6" t="n">
        <v>2</v>
      </c>
      <c r="R25" s="7" t="s">
        <v>8</v>
      </c>
      <c r="S25" s="12"/>
      <c r="T25" s="12"/>
    </row>
    <row r="26" customFormat="false" ht="15.75" hidden="false" customHeight="false" outlineLevel="0" collapsed="false">
      <c r="A26" s="1" t="n">
        <v>9792</v>
      </c>
      <c r="B26" s="10" t="s">
        <v>14</v>
      </c>
      <c r="C26" s="11" t="n">
        <v>0.0003</v>
      </c>
      <c r="D26" s="12" t="n">
        <f aca="false">C26*$D$28</f>
        <v>0.0003</v>
      </c>
      <c r="E26" s="13" t="n">
        <f aca="false">VLOOKUP($A26,INSUMOS!$B:$D,3,0)*D26</f>
        <v>0.00852</v>
      </c>
      <c r="F26" s="23"/>
      <c r="G26" s="20"/>
      <c r="H26" s="23"/>
      <c r="I26" s="20"/>
      <c r="J26" s="23"/>
      <c r="K26" s="20"/>
      <c r="L26" s="23"/>
      <c r="M26" s="20"/>
      <c r="O26" s="10" t="s">
        <v>9</v>
      </c>
      <c r="P26" s="11" t="n">
        <v>0.9404</v>
      </c>
      <c r="Q26" s="12" t="n">
        <f aca="false">P26*$Q$33</f>
        <v>0.9404</v>
      </c>
      <c r="R26" s="12"/>
      <c r="S26" s="12"/>
      <c r="T26" s="12"/>
    </row>
    <row r="27" customFormat="false" ht="15.75" hidden="false" customHeight="false" outlineLevel="0" collapsed="false">
      <c r="A27" s="1" t="n">
        <v>9790</v>
      </c>
      <c r="B27" s="10" t="s">
        <v>15</v>
      </c>
      <c r="C27" s="11" t="n">
        <v>0.0005</v>
      </c>
      <c r="D27" s="12" t="n">
        <f aca="false">C27*$D$28</f>
        <v>0.0005</v>
      </c>
      <c r="E27" s="13" t="n">
        <f aca="false">VLOOKUP($A27,INSUMOS!$B:$D,3,0)*D27</f>
        <v>0.01285</v>
      </c>
      <c r="F27" s="23"/>
      <c r="G27" s="20"/>
      <c r="H27" s="23"/>
      <c r="I27" s="20"/>
      <c r="J27" s="23"/>
      <c r="K27" s="20"/>
      <c r="L27" s="23"/>
      <c r="M27" s="20"/>
      <c r="N27" s="1" t="n">
        <v>9794</v>
      </c>
      <c r="O27" s="10" t="s">
        <v>11</v>
      </c>
      <c r="P27" s="11" t="n">
        <v>0.054</v>
      </c>
      <c r="Q27" s="12" t="n">
        <f aca="false">P27*$Q$33</f>
        <v>0.054</v>
      </c>
      <c r="R27" s="13" t="n">
        <f aca="false">VLOOKUP($N27,INSUMOS!$B:$D,3,0)*Q27</f>
        <v>1.161</v>
      </c>
      <c r="S27" s="12"/>
      <c r="T27" s="12"/>
    </row>
    <row r="28" customFormat="false" ht="15.75" hidden="false" customHeight="false" outlineLevel="0" collapsed="false">
      <c r="B28" s="14" t="s">
        <v>17</v>
      </c>
      <c r="C28" s="15" t="n">
        <v>1</v>
      </c>
      <c r="D28" s="16" t="n">
        <v>1</v>
      </c>
      <c r="E28" s="17" t="n">
        <f aca="false">SUM(E21:E27)</f>
        <v>1.29581</v>
      </c>
      <c r="F28" s="10"/>
      <c r="G28" s="24"/>
      <c r="H28" s="10"/>
      <c r="I28" s="24"/>
      <c r="J28" s="10"/>
      <c r="K28" s="20"/>
      <c r="L28" s="23"/>
      <c r="M28" s="20"/>
      <c r="N28" s="1" t="n">
        <v>9789</v>
      </c>
      <c r="O28" s="10" t="s">
        <v>12</v>
      </c>
      <c r="P28" s="11" t="n">
        <v>0.002</v>
      </c>
      <c r="Q28" s="12" t="n">
        <f aca="false">P28*$Q$33</f>
        <v>0.002</v>
      </c>
      <c r="R28" s="13" t="n">
        <f aca="false">VLOOKUP($N28,INSUMOS!$B:$D,3,0)*Q28</f>
        <v>0.0248</v>
      </c>
      <c r="S28" s="12"/>
      <c r="T28" s="12"/>
    </row>
    <row r="29" customFormat="false" ht="15.75" hidden="false" customHeight="true" outlineLevel="0" collapsed="false">
      <c r="N29" s="1" t="n">
        <v>9511</v>
      </c>
      <c r="O29" s="10" t="s">
        <v>13</v>
      </c>
      <c r="P29" s="11" t="n">
        <v>0.0015</v>
      </c>
      <c r="Q29" s="12" t="n">
        <f aca="false">P29*$Q$33</f>
        <v>0.0015</v>
      </c>
      <c r="R29" s="13" t="n">
        <f aca="false">VLOOKUP($N29,INSUMOS!$B:$D,3,0)*Q29</f>
        <v>0.0228</v>
      </c>
      <c r="S29" s="12"/>
      <c r="T29" s="12"/>
    </row>
    <row r="30" customFormat="false" ht="15.75" hidden="false" customHeight="true" outlineLevel="0" collapsed="false">
      <c r="N30" s="1" t="n">
        <v>9792</v>
      </c>
      <c r="O30" s="10" t="s">
        <v>14</v>
      </c>
      <c r="P30" s="11" t="n">
        <v>0.001</v>
      </c>
      <c r="Q30" s="12" t="n">
        <f aca="false">P30*$Q$33</f>
        <v>0.001</v>
      </c>
      <c r="R30" s="13" t="n">
        <f aca="false">VLOOKUP($N30,INSUMOS!$B:$D,3,0)*Q30</f>
        <v>0.0284</v>
      </c>
      <c r="S30" s="12"/>
      <c r="T30" s="12"/>
    </row>
    <row r="31" customFormat="false" ht="15.75" hidden="false" customHeight="true" outlineLevel="0" collapsed="false">
      <c r="N31" s="1" t="n">
        <v>9790</v>
      </c>
      <c r="O31" s="10" t="s">
        <v>15</v>
      </c>
      <c r="P31" s="11" t="n">
        <v>0.001</v>
      </c>
      <c r="Q31" s="12" t="n">
        <f aca="false">P31*$Q$33</f>
        <v>0.001</v>
      </c>
      <c r="R31" s="13" t="n">
        <f aca="false">VLOOKUP($N31,INSUMOS!$B:$D,3,0)*Q31</f>
        <v>0.0257</v>
      </c>
      <c r="S31" s="12"/>
      <c r="T31" s="12"/>
    </row>
    <row r="32" customFormat="false" ht="15.75" hidden="false" customHeight="true" outlineLevel="0" collapsed="false">
      <c r="N32" s="1" t="n">
        <v>10718</v>
      </c>
      <c r="O32" s="10" t="s">
        <v>18</v>
      </c>
      <c r="P32" s="11" t="n">
        <v>5E-005</v>
      </c>
      <c r="Q32" s="12" t="n">
        <f aca="false">P32*$Q$33</f>
        <v>5E-005</v>
      </c>
      <c r="R32" s="13" t="n">
        <f aca="false">VLOOKUP($N32,INSUMOS!$B:$D,3,0)*Q32</f>
        <v>0.000445</v>
      </c>
      <c r="S32" s="12"/>
      <c r="T32" s="12"/>
    </row>
    <row r="33" customFormat="false" ht="15.75" hidden="false" customHeight="true" outlineLevel="0" collapsed="false">
      <c r="O33" s="14" t="s">
        <v>17</v>
      </c>
      <c r="P33" s="11" t="n">
        <v>1</v>
      </c>
      <c r="Q33" s="12" t="n">
        <v>1</v>
      </c>
      <c r="R33" s="17" t="n">
        <f aca="false">SUM(R27:R32)</f>
        <v>1.263145</v>
      </c>
      <c r="S33" s="12"/>
      <c r="T33" s="12"/>
    </row>
  </sheetData>
  <mergeCells count="8">
    <mergeCell ref="B2:M2"/>
    <mergeCell ref="O2:T2"/>
    <mergeCell ref="W2:Y2"/>
    <mergeCell ref="B12:M12"/>
    <mergeCell ref="O13:T13"/>
    <mergeCell ref="V13:Y13"/>
    <mergeCell ref="B20:M20"/>
    <mergeCell ref="O24:T24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E4B7"/>
    <pageSetUpPr fitToPage="false"/>
  </sheetPr>
  <dimension ref="A1:F64"/>
  <sheetViews>
    <sheetView showFormulas="false" showGridLines="true" showRowColHeaders="true" showZeros="true" rightToLeft="false" tabSelected="false" showOutlineSymbols="true" defaultGridColor="true" view="normal" topLeftCell="A31" colorId="64" zoomScale="130" zoomScaleNormal="130" zoomScalePageLayoutView="100" workbookViewId="0">
      <selection pane="topLeft" activeCell="C59" activeCellId="1" sqref="A2:J52 C59"/>
    </sheetView>
  </sheetViews>
  <sheetFormatPr defaultColWidth="8.6796875" defaultRowHeight="12.7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9.56"/>
    <col collapsed="false" customWidth="true" hidden="false" outlineLevel="0" max="3" min="3" style="1" width="58.88"/>
    <col collapsed="false" customWidth="true" hidden="false" outlineLevel="0" max="4" min="4" style="25" width="17"/>
    <col collapsed="false" customWidth="true" hidden="false" outlineLevel="0" max="6" min="6" style="1" width="23"/>
  </cols>
  <sheetData>
    <row r="1" customFormat="false" ht="18.55" hidden="false" customHeight="false" outlineLevel="0" collapsed="false">
      <c r="B1" s="26" t="s">
        <v>24</v>
      </c>
      <c r="C1" s="26"/>
      <c r="D1" s="26"/>
      <c r="E1" s="26"/>
    </row>
    <row r="2" customFormat="false" ht="15" hidden="false" customHeight="false" outlineLevel="0" collapsed="false">
      <c r="C2" s="27" t="s">
        <v>25</v>
      </c>
      <c r="D2" s="28" t="s">
        <v>26</v>
      </c>
      <c r="E2" s="28"/>
    </row>
    <row r="3" customFormat="false" ht="12.75" hidden="false" customHeight="false" outlineLevel="0" collapsed="false">
      <c r="B3" s="29" t="n">
        <v>9794</v>
      </c>
      <c r="C3" s="1" t="str">
        <f aca="false">VLOOKUP(B3,'Consumo salmoura'!A:J,2,0)</f>
        <v>Sal </v>
      </c>
      <c r="D3" s="25" t="n">
        <v>21.5</v>
      </c>
      <c r="E3" s="30" t="s">
        <v>27</v>
      </c>
    </row>
    <row r="4" customFormat="false" ht="12.75" hidden="false" customHeight="false" outlineLevel="0" collapsed="false">
      <c r="B4" s="29" t="n">
        <v>9789</v>
      </c>
      <c r="C4" s="1" t="str">
        <f aca="false">VLOOKUP(B4,'Consumo salmoura'!A:J,2,0)</f>
        <v>Ácido Cítrico</v>
      </c>
      <c r="D4" s="25" t="n">
        <v>12.4</v>
      </c>
      <c r="E4" s="30" t="s">
        <v>27</v>
      </c>
    </row>
    <row r="5" customFormat="false" ht="12.75" hidden="false" customHeight="false" outlineLevel="0" collapsed="false">
      <c r="B5" s="29" t="n">
        <v>9511</v>
      </c>
      <c r="C5" s="1" t="str">
        <f aca="false">VLOOKUP(B5,'Consumo salmoura'!A:J,2,0)</f>
        <v>Acido Lactico</v>
      </c>
      <c r="D5" s="25" t="n">
        <v>15.2</v>
      </c>
      <c r="E5" s="30" t="s">
        <v>27</v>
      </c>
    </row>
    <row r="6" customFormat="false" ht="12.75" hidden="false" customHeight="false" outlineLevel="0" collapsed="false">
      <c r="B6" s="29" t="n">
        <v>9792</v>
      </c>
      <c r="C6" s="1" t="str">
        <f aca="false">VLOOKUP(B6,'Consumo salmoura'!A:J,2,0)</f>
        <v>Benzoato de Sódio</v>
      </c>
      <c r="D6" s="25" t="n">
        <f aca="false">5.68*5</f>
        <v>28.4</v>
      </c>
      <c r="E6" s="30" t="s">
        <v>27</v>
      </c>
    </row>
    <row r="7" customFormat="false" ht="12.75" hidden="false" customHeight="false" outlineLevel="0" collapsed="false">
      <c r="B7" s="29" t="n">
        <v>9790</v>
      </c>
      <c r="C7" s="1" t="str">
        <f aca="false">VLOOKUP(B7,'Consumo salmoura'!A:J,2,0)</f>
        <v>Sorbato de Potássio</v>
      </c>
      <c r="D7" s="25" t="n">
        <f aca="false">5.14*5</f>
        <v>25.7</v>
      </c>
      <c r="E7" s="30" t="s">
        <v>27</v>
      </c>
    </row>
    <row r="8" customFormat="false" ht="12.75" hidden="false" customHeight="false" outlineLevel="0" collapsed="false">
      <c r="B8" s="29" t="n">
        <v>9791</v>
      </c>
      <c r="C8" s="1" t="str">
        <f aca="false">VLOOKUP(B8,'Consumo salmoura'!A:J,2,0)</f>
        <v>Acido Ascorbico</v>
      </c>
      <c r="D8" s="25" t="n">
        <f aca="false">4.2*5</f>
        <v>21</v>
      </c>
      <c r="E8" s="30" t="s">
        <v>27</v>
      </c>
    </row>
    <row r="9" customFormat="false" ht="12.75" hidden="false" customHeight="false" outlineLevel="0" collapsed="false">
      <c r="B9" s="29" t="n">
        <v>10718</v>
      </c>
      <c r="C9" s="1" t="s">
        <v>18</v>
      </c>
      <c r="D9" s="25" t="n">
        <f aca="false">1.78*5</f>
        <v>8.9</v>
      </c>
      <c r="E9" s="30" t="s">
        <v>27</v>
      </c>
    </row>
    <row r="10" customFormat="false" ht="12.75" hidden="false" customHeight="false" outlineLevel="0" collapsed="false">
      <c r="B10" s="29" t="n">
        <v>11342</v>
      </c>
      <c r="C10" s="1" t="s">
        <v>16</v>
      </c>
      <c r="D10" s="25" t="n">
        <v>12.5</v>
      </c>
      <c r="E10" s="30" t="s">
        <v>27</v>
      </c>
    </row>
    <row r="11" customFormat="false" ht="15" hidden="false" customHeight="false" outlineLevel="0" collapsed="false">
      <c r="A11" s="27" t="s">
        <v>28</v>
      </c>
      <c r="B11" s="27" t="s">
        <v>29</v>
      </c>
      <c r="C11" s="27"/>
      <c r="D11" s="27"/>
      <c r="E11" s="27"/>
      <c r="F11" s="27" t="s">
        <v>30</v>
      </c>
    </row>
    <row r="12" customFormat="false" ht="12.75" hidden="false" customHeight="false" outlineLevel="0" collapsed="false">
      <c r="A12" s="31"/>
      <c r="B12" s="29" t="n">
        <v>9809</v>
      </c>
      <c r="C12" s="1" t="s">
        <v>31</v>
      </c>
      <c r="D12" s="25" t="n">
        <v>34</v>
      </c>
      <c r="E12" s="30" t="s">
        <v>27</v>
      </c>
      <c r="F12" s="32" t="n">
        <v>0.015</v>
      </c>
    </row>
    <row r="13" customFormat="false" ht="12.75" hidden="false" customHeight="false" outlineLevel="0" collapsed="false">
      <c r="A13" s="31"/>
      <c r="B13" s="29" t="n">
        <v>9829</v>
      </c>
      <c r="C13" s="1" t="s">
        <v>32</v>
      </c>
      <c r="D13" s="25" t="n">
        <v>0.7056</v>
      </c>
      <c r="E13" s="30" t="s">
        <v>33</v>
      </c>
      <c r="F13" s="32"/>
    </row>
    <row r="14" customFormat="false" ht="12.75" hidden="false" customHeight="false" outlineLevel="0" collapsed="false">
      <c r="A14" s="31"/>
      <c r="B14" s="29" t="n">
        <v>9830</v>
      </c>
      <c r="C14" s="1" t="s">
        <v>34</v>
      </c>
      <c r="D14" s="25" t="n">
        <v>0.7056</v>
      </c>
      <c r="E14" s="30" t="s">
        <v>33</v>
      </c>
      <c r="F14" s="32"/>
    </row>
    <row r="15" customFormat="false" ht="12.75" hidden="false" customHeight="false" outlineLevel="0" collapsed="false">
      <c r="A15" s="31"/>
      <c r="B15" s="29" t="n">
        <v>9831</v>
      </c>
      <c r="C15" s="1" t="s">
        <v>35</v>
      </c>
      <c r="D15" s="25" t="n">
        <v>0.7056</v>
      </c>
      <c r="E15" s="30" t="s">
        <v>33</v>
      </c>
      <c r="F15" s="32"/>
    </row>
    <row r="16" customFormat="false" ht="12.75" hidden="false" customHeight="false" outlineLevel="0" collapsed="false">
      <c r="A16" s="31"/>
      <c r="B16" s="29" t="n">
        <v>9832</v>
      </c>
      <c r="C16" s="1" t="s">
        <v>36</v>
      </c>
      <c r="D16" s="25" t="n">
        <v>0.7056</v>
      </c>
      <c r="E16" s="30" t="s">
        <v>33</v>
      </c>
      <c r="F16" s="32"/>
    </row>
    <row r="17" customFormat="false" ht="12.75" hidden="false" customHeight="false" outlineLevel="0" collapsed="false">
      <c r="A17" s="31"/>
      <c r="B17" s="29" t="n">
        <v>9833</v>
      </c>
      <c r="C17" s="1" t="s">
        <v>37</v>
      </c>
      <c r="D17" s="25" t="n">
        <v>0.7056</v>
      </c>
      <c r="E17" s="30" t="s">
        <v>33</v>
      </c>
      <c r="F17" s="32"/>
    </row>
    <row r="18" customFormat="false" ht="12.75" hidden="false" customHeight="false" outlineLevel="0" collapsed="false">
      <c r="A18" s="31"/>
      <c r="B18" s="29" t="n">
        <v>9834</v>
      </c>
      <c r="C18" s="1" t="s">
        <v>38</v>
      </c>
      <c r="D18" s="25" t="n">
        <v>0.7056</v>
      </c>
      <c r="E18" s="30" t="s">
        <v>33</v>
      </c>
      <c r="F18" s="32"/>
    </row>
    <row r="19" customFormat="false" ht="12.75" hidden="false" customHeight="false" outlineLevel="0" collapsed="false">
      <c r="A19" s="31"/>
      <c r="B19" s="29" t="n">
        <v>9835</v>
      </c>
      <c r="C19" s="1" t="s">
        <v>39</v>
      </c>
      <c r="D19" s="25" t="n">
        <v>0.7056</v>
      </c>
      <c r="E19" s="30" t="s">
        <v>33</v>
      </c>
      <c r="F19" s="32"/>
    </row>
    <row r="20" customFormat="false" ht="12.75" hidden="false" customHeight="false" outlineLevel="0" collapsed="false">
      <c r="A20" s="31" t="n">
        <v>9665</v>
      </c>
      <c r="B20" s="29" t="n">
        <v>9827</v>
      </c>
      <c r="C20" s="1" t="s">
        <v>40</v>
      </c>
      <c r="D20" s="25" t="n">
        <v>57</v>
      </c>
      <c r="E20" s="30" t="s">
        <v>27</v>
      </c>
      <c r="F20" s="32" t="n">
        <v>0.006</v>
      </c>
    </row>
    <row r="21" customFormat="false" ht="12.75" hidden="false" customHeight="false" outlineLevel="0" collapsed="false">
      <c r="A21" s="31" t="n">
        <v>9664</v>
      </c>
      <c r="B21" s="29" t="n">
        <v>9828</v>
      </c>
      <c r="C21" s="1" t="s">
        <v>41</v>
      </c>
      <c r="D21" s="25" t="n">
        <v>57</v>
      </c>
      <c r="E21" s="30" t="s">
        <v>27</v>
      </c>
      <c r="F21" s="32" t="n">
        <v>0.006</v>
      </c>
    </row>
    <row r="22" customFormat="false" ht="12.75" hidden="false" customHeight="false" outlineLevel="0" collapsed="false">
      <c r="A22" s="31" t="n">
        <v>9663</v>
      </c>
      <c r="B22" s="29" t="n">
        <v>9430</v>
      </c>
      <c r="C22" s="1" t="s">
        <v>42</v>
      </c>
      <c r="D22" s="25" t="n">
        <v>57</v>
      </c>
      <c r="E22" s="30" t="s">
        <v>27</v>
      </c>
      <c r="F22" s="32" t="n">
        <v>0.006</v>
      </c>
    </row>
    <row r="23" customFormat="false" ht="12.75" hidden="false" customHeight="false" outlineLevel="0" collapsed="false">
      <c r="A23" s="31" t="n">
        <v>9361</v>
      </c>
      <c r="B23" s="29" t="n">
        <v>9433</v>
      </c>
      <c r="C23" s="1" t="s">
        <v>43</v>
      </c>
      <c r="D23" s="25" t="n">
        <v>57</v>
      </c>
      <c r="E23" s="30" t="s">
        <v>27</v>
      </c>
      <c r="F23" s="32" t="n">
        <v>0.007</v>
      </c>
    </row>
    <row r="24" customFormat="false" ht="12.75" hidden="false" customHeight="false" outlineLevel="0" collapsed="false">
      <c r="A24" s="31" t="n">
        <v>9360</v>
      </c>
      <c r="B24" s="29" t="n">
        <v>9819</v>
      </c>
      <c r="C24" s="1" t="s">
        <v>44</v>
      </c>
      <c r="D24" s="25" t="n">
        <v>57</v>
      </c>
      <c r="E24" s="30" t="s">
        <v>27</v>
      </c>
      <c r="F24" s="32" t="n">
        <v>0.007</v>
      </c>
    </row>
    <row r="25" customFormat="false" ht="12.75" hidden="false" customHeight="false" outlineLevel="0" collapsed="false">
      <c r="A25" s="31" t="n">
        <v>9630</v>
      </c>
      <c r="B25" s="29" t="n">
        <v>9821</v>
      </c>
      <c r="C25" s="1" t="s">
        <v>45</v>
      </c>
      <c r="D25" s="25" t="n">
        <v>57</v>
      </c>
      <c r="E25" s="30" t="s">
        <v>27</v>
      </c>
      <c r="F25" s="32" t="n">
        <v>0.007</v>
      </c>
    </row>
    <row r="26" customFormat="false" ht="12.75" hidden="false" customHeight="false" outlineLevel="0" collapsed="false">
      <c r="A26" s="31" t="n">
        <v>9673</v>
      </c>
      <c r="B26" s="29" t="n">
        <v>9823</v>
      </c>
      <c r="C26" s="1" t="s">
        <v>46</v>
      </c>
      <c r="D26" s="25" t="n">
        <v>57</v>
      </c>
      <c r="E26" s="30" t="s">
        <v>27</v>
      </c>
      <c r="F26" s="32" t="n">
        <v>0.006</v>
      </c>
    </row>
    <row r="27" customFormat="false" ht="12.75" hidden="false" customHeight="false" outlineLevel="0" collapsed="false">
      <c r="A27" s="31" t="n">
        <v>10057</v>
      </c>
      <c r="B27" s="29" t="n">
        <v>9824</v>
      </c>
      <c r="C27" s="1" t="s">
        <v>47</v>
      </c>
      <c r="D27" s="25" t="n">
        <v>57</v>
      </c>
      <c r="E27" s="30" t="s">
        <v>27</v>
      </c>
      <c r="F27" s="32" t="n">
        <v>0.006</v>
      </c>
    </row>
    <row r="28" customFormat="false" ht="12.75" hidden="false" customHeight="false" outlineLevel="0" collapsed="false">
      <c r="A28" s="31" t="n">
        <v>9565</v>
      </c>
      <c r="B28" s="29" t="n">
        <v>9491</v>
      </c>
      <c r="C28" s="1" t="s">
        <v>48</v>
      </c>
      <c r="D28" s="25" t="n">
        <v>57</v>
      </c>
      <c r="E28" s="30" t="s">
        <v>27</v>
      </c>
      <c r="F28" s="32" t="n">
        <v>0.005</v>
      </c>
    </row>
    <row r="29" customFormat="false" ht="12.75" hidden="false" customHeight="false" outlineLevel="0" collapsed="false">
      <c r="A29" s="31"/>
      <c r="B29" s="29" t="n">
        <v>9820</v>
      </c>
      <c r="C29" s="1" t="s">
        <v>49</v>
      </c>
      <c r="D29" s="25" t="n">
        <v>57</v>
      </c>
      <c r="E29" s="30" t="s">
        <v>27</v>
      </c>
      <c r="F29" s="32" t="n">
        <v>0.007</v>
      </c>
    </row>
    <row r="30" customFormat="false" ht="12.75" hidden="false" customHeight="false" outlineLevel="0" collapsed="false">
      <c r="A30" s="31"/>
      <c r="B30" s="29" t="n">
        <v>9822</v>
      </c>
      <c r="C30" s="1" t="s">
        <v>50</v>
      </c>
      <c r="D30" s="25" t="n">
        <v>57</v>
      </c>
      <c r="E30" s="30" t="s">
        <v>27</v>
      </c>
      <c r="F30" s="32" t="n">
        <v>0.007</v>
      </c>
    </row>
    <row r="31" customFormat="false" ht="12.75" hidden="false" customHeight="false" outlineLevel="0" collapsed="false">
      <c r="A31" s="31"/>
      <c r="B31" s="29" t="n">
        <v>9825</v>
      </c>
      <c r="C31" s="1" t="s">
        <v>51</v>
      </c>
      <c r="D31" s="25" t="n">
        <v>57</v>
      </c>
      <c r="E31" s="30" t="s">
        <v>27</v>
      </c>
      <c r="F31" s="32" t="n">
        <v>0.004</v>
      </c>
    </row>
    <row r="32" customFormat="false" ht="12.75" hidden="false" customHeight="false" outlineLevel="0" collapsed="false">
      <c r="A32" s="31"/>
      <c r="B32" s="29" t="n">
        <v>9826</v>
      </c>
      <c r="C32" s="1" t="s">
        <v>52</v>
      </c>
      <c r="D32" s="25" t="n">
        <v>57</v>
      </c>
      <c r="E32" s="30" t="s">
        <v>27</v>
      </c>
      <c r="F32" s="32" t="n">
        <v>0.006</v>
      </c>
    </row>
    <row r="33" customFormat="false" ht="12.75" hidden="false" customHeight="false" outlineLevel="0" collapsed="false">
      <c r="A33" s="31" t="n">
        <v>9628</v>
      </c>
      <c r="B33" s="29" t="n">
        <v>11032</v>
      </c>
      <c r="C33" s="1" t="s">
        <v>53</v>
      </c>
      <c r="D33" s="25" t="n">
        <v>57</v>
      </c>
      <c r="E33" s="30" t="s">
        <v>27</v>
      </c>
      <c r="F33" s="32" t="n">
        <v>0.004</v>
      </c>
    </row>
    <row r="34" customFormat="false" ht="12.75" hidden="false" customHeight="false" outlineLevel="0" collapsed="false">
      <c r="A34" s="33" t="n">
        <v>9627</v>
      </c>
      <c r="B34" s="34" t="n">
        <v>11032</v>
      </c>
      <c r="C34" s="35" t="s">
        <v>54</v>
      </c>
      <c r="D34" s="36" t="n">
        <v>57</v>
      </c>
      <c r="E34" s="37" t="s">
        <v>27</v>
      </c>
      <c r="F34" s="38" t="n">
        <v>0.004</v>
      </c>
    </row>
    <row r="35" customFormat="false" ht="15" hidden="false" customHeight="false" outlineLevel="0" collapsed="false">
      <c r="B35" s="39"/>
      <c r="C35" s="39" t="s">
        <v>55</v>
      </c>
      <c r="D35" s="39"/>
      <c r="E35" s="39"/>
    </row>
    <row r="36" customFormat="false" ht="12.75" hidden="false" customHeight="false" outlineLevel="0" collapsed="false">
      <c r="B36" s="29" t="n">
        <v>9492</v>
      </c>
      <c r="C36" s="1" t="s">
        <v>56</v>
      </c>
      <c r="D36" s="25" t="n">
        <v>2.03</v>
      </c>
      <c r="E36" s="30" t="s">
        <v>33</v>
      </c>
    </row>
    <row r="37" customFormat="false" ht="12.75" hidden="false" customHeight="false" outlineLevel="0" collapsed="false">
      <c r="B37" s="29" t="n">
        <v>9837</v>
      </c>
      <c r="C37" s="1" t="s">
        <v>57</v>
      </c>
      <c r="D37" s="25" t="n">
        <v>1.83</v>
      </c>
      <c r="E37" s="30" t="s">
        <v>33</v>
      </c>
    </row>
    <row r="38" customFormat="false" ht="12.75" hidden="false" customHeight="false" outlineLevel="0" collapsed="false">
      <c r="B38" s="29" t="n">
        <v>9838</v>
      </c>
      <c r="C38" s="1" t="s">
        <v>58</v>
      </c>
      <c r="D38" s="25" t="n">
        <v>1.03</v>
      </c>
      <c r="E38" s="30" t="s">
        <v>33</v>
      </c>
    </row>
    <row r="39" customFormat="false" ht="12.75" hidden="false" customHeight="false" outlineLevel="0" collapsed="false">
      <c r="B39" s="29" t="n">
        <v>11125</v>
      </c>
      <c r="C39" s="1" t="s">
        <v>59</v>
      </c>
      <c r="D39" s="25" t="n">
        <v>0.64</v>
      </c>
      <c r="E39" s="30" t="s">
        <v>33</v>
      </c>
    </row>
    <row r="40" customFormat="false" ht="15" hidden="false" customHeight="false" outlineLevel="0" collapsed="false">
      <c r="B40" s="27"/>
      <c r="C40" s="27" t="s">
        <v>60</v>
      </c>
      <c r="D40" s="27"/>
      <c r="E40" s="27"/>
    </row>
    <row r="41" customFormat="false" ht="12.75" hidden="false" customHeight="false" outlineLevel="0" collapsed="false">
      <c r="B41" s="29" t="n">
        <v>9842</v>
      </c>
      <c r="C41" s="1" t="s">
        <v>61</v>
      </c>
      <c r="D41" s="25" t="n">
        <f aca="false">919/1000</f>
        <v>0.919</v>
      </c>
      <c r="E41" s="30" t="s">
        <v>33</v>
      </c>
    </row>
    <row r="42" customFormat="false" ht="12.75" hidden="false" customHeight="false" outlineLevel="0" collapsed="false">
      <c r="B42" s="29" t="n">
        <v>9498</v>
      </c>
      <c r="C42" s="1" t="s">
        <v>62</v>
      </c>
      <c r="D42" s="25" t="n">
        <f aca="false">1380/1000</f>
        <v>1.38</v>
      </c>
      <c r="E42" s="30" t="s">
        <v>33</v>
      </c>
    </row>
    <row r="43" customFormat="false" ht="15" hidden="false" customHeight="false" outlineLevel="0" collapsed="false">
      <c r="B43" s="27"/>
      <c r="C43" s="27" t="s">
        <v>63</v>
      </c>
      <c r="D43" s="27"/>
      <c r="E43" s="27"/>
    </row>
    <row r="44" customFormat="false" ht="12.75" hidden="false" customHeight="false" outlineLevel="0" collapsed="false">
      <c r="B44" s="29" t="n">
        <v>9499</v>
      </c>
      <c r="C44" s="1" t="s">
        <v>64</v>
      </c>
      <c r="D44" s="25" t="n">
        <f aca="false">659.66/1000</f>
        <v>0.65966</v>
      </c>
      <c r="E44" s="30" t="s">
        <v>33</v>
      </c>
    </row>
    <row r="45" customFormat="false" ht="12.75" hidden="false" customHeight="false" outlineLevel="0" collapsed="false">
      <c r="B45" s="29" t="n">
        <v>9845</v>
      </c>
      <c r="C45" s="1" t="s">
        <v>65</v>
      </c>
      <c r="D45" s="25" t="n">
        <v>1.58</v>
      </c>
      <c r="E45" s="30" t="s">
        <v>33</v>
      </c>
    </row>
    <row r="46" customFormat="false" ht="12.75" hidden="false" customHeight="false" outlineLevel="0" collapsed="false">
      <c r="B46" s="29" t="n">
        <v>9846</v>
      </c>
      <c r="C46" s="1" t="s">
        <v>66</v>
      </c>
      <c r="D46" s="25" t="n">
        <f aca="false">444.05/1000</f>
        <v>0.44405</v>
      </c>
      <c r="E46" s="30" t="s">
        <v>33</v>
      </c>
    </row>
    <row r="47" customFormat="false" ht="15" hidden="false" customHeight="false" outlineLevel="0" collapsed="false">
      <c r="B47" s="27"/>
      <c r="C47" s="27" t="s">
        <v>67</v>
      </c>
      <c r="D47" s="27"/>
      <c r="E47" s="27"/>
    </row>
    <row r="48" customFormat="false" ht="12.75" hidden="false" customHeight="false" outlineLevel="0" collapsed="false">
      <c r="B48" s="29" t="n">
        <v>9849</v>
      </c>
      <c r="C48" s="1" t="s">
        <v>68</v>
      </c>
      <c r="D48" s="25" t="n">
        <v>0.256</v>
      </c>
      <c r="E48" s="30" t="s">
        <v>33</v>
      </c>
    </row>
    <row r="49" customFormat="false" ht="12.75" hidden="false" customHeight="false" outlineLevel="0" collapsed="false">
      <c r="B49" s="29" t="n">
        <v>9850</v>
      </c>
      <c r="C49" s="1" t="s">
        <v>69</v>
      </c>
      <c r="D49" s="25" t="n">
        <v>0.256</v>
      </c>
      <c r="E49" s="30" t="s">
        <v>33</v>
      </c>
    </row>
    <row r="50" customFormat="false" ht="12.75" hidden="false" customHeight="false" outlineLevel="0" collapsed="false">
      <c r="B50" s="29" t="n">
        <v>9851</v>
      </c>
      <c r="C50" s="1" t="s">
        <v>70</v>
      </c>
      <c r="D50" s="25" t="n">
        <v>0.256</v>
      </c>
      <c r="E50" s="30" t="s">
        <v>33</v>
      </c>
    </row>
    <row r="51" customFormat="false" ht="12.75" hidden="false" customHeight="false" outlineLevel="0" collapsed="false">
      <c r="B51" s="29" t="n">
        <v>9852</v>
      </c>
      <c r="C51" s="1" t="s">
        <v>71</v>
      </c>
      <c r="D51" s="25" t="n">
        <v>0.256</v>
      </c>
      <c r="E51" s="30" t="s">
        <v>33</v>
      </c>
    </row>
    <row r="52" customFormat="false" ht="12.75" hidden="false" customHeight="false" outlineLevel="0" collapsed="false">
      <c r="B52" s="29" t="n">
        <v>9853</v>
      </c>
      <c r="C52" s="1" t="s">
        <v>72</v>
      </c>
      <c r="D52" s="25" t="n">
        <v>0.256</v>
      </c>
      <c r="E52" s="30" t="s">
        <v>33</v>
      </c>
    </row>
    <row r="53" customFormat="false" ht="12.75" hidden="false" customHeight="false" outlineLevel="0" collapsed="false">
      <c r="B53" s="29" t="n">
        <v>9854</v>
      </c>
      <c r="C53" s="1" t="s">
        <v>73</v>
      </c>
      <c r="D53" s="25" t="n">
        <v>0.276</v>
      </c>
      <c r="E53" s="30" t="s">
        <v>33</v>
      </c>
    </row>
    <row r="54" customFormat="false" ht="12.75" hidden="false" customHeight="false" outlineLevel="0" collapsed="false">
      <c r="B54" s="29" t="n">
        <v>9855</v>
      </c>
      <c r="C54" s="1" t="s">
        <v>74</v>
      </c>
      <c r="D54" s="25" t="n">
        <v>0.276</v>
      </c>
      <c r="E54" s="30" t="s">
        <v>33</v>
      </c>
    </row>
    <row r="55" customFormat="false" ht="12.75" hidden="false" customHeight="false" outlineLevel="0" collapsed="false">
      <c r="B55" s="29" t="n">
        <v>9856</v>
      </c>
      <c r="C55" s="1" t="s">
        <v>75</v>
      </c>
      <c r="D55" s="25" t="n">
        <v>0.276</v>
      </c>
      <c r="E55" s="30" t="s">
        <v>33</v>
      </c>
    </row>
    <row r="56" customFormat="false" ht="12.75" hidden="false" customHeight="false" outlineLevel="0" collapsed="false">
      <c r="B56" s="29" t="n">
        <v>9857</v>
      </c>
      <c r="C56" s="1" t="s">
        <v>76</v>
      </c>
      <c r="D56" s="25" t="n">
        <v>0.256</v>
      </c>
      <c r="E56" s="30" t="s">
        <v>33</v>
      </c>
    </row>
    <row r="57" customFormat="false" ht="12.75" hidden="false" customHeight="false" outlineLevel="0" collapsed="false">
      <c r="B57" s="29" t="n">
        <v>9858</v>
      </c>
      <c r="C57" s="1" t="s">
        <v>77</v>
      </c>
      <c r="D57" s="25" t="n">
        <v>0.256</v>
      </c>
      <c r="E57" s="30" t="s">
        <v>33</v>
      </c>
    </row>
    <row r="58" customFormat="false" ht="12.75" hidden="false" customHeight="false" outlineLevel="0" collapsed="false">
      <c r="B58" s="29" t="n">
        <v>9859</v>
      </c>
      <c r="C58" s="1" t="s">
        <v>78</v>
      </c>
      <c r="D58" s="25" t="n">
        <v>0.256</v>
      </c>
      <c r="E58" s="30" t="s">
        <v>33</v>
      </c>
    </row>
    <row r="59" customFormat="false" ht="12.75" hidden="false" customHeight="false" outlineLevel="0" collapsed="false">
      <c r="B59" s="29" t="n">
        <v>9860</v>
      </c>
      <c r="C59" s="1" t="s">
        <v>79</v>
      </c>
      <c r="D59" s="25" t="n">
        <v>0.256</v>
      </c>
      <c r="E59" s="30" t="s">
        <v>33</v>
      </c>
    </row>
    <row r="60" customFormat="false" ht="12.75" hidden="false" customHeight="false" outlineLevel="0" collapsed="false">
      <c r="B60" s="29" t="n">
        <v>9861</v>
      </c>
      <c r="C60" s="1" t="s">
        <v>80</v>
      </c>
      <c r="D60" s="25" t="n">
        <v>0.256</v>
      </c>
      <c r="E60" s="30" t="s">
        <v>33</v>
      </c>
    </row>
    <row r="61" customFormat="false" ht="12.75" hidden="false" customHeight="false" outlineLevel="0" collapsed="false">
      <c r="B61" s="29" t="n">
        <v>9862</v>
      </c>
      <c r="C61" s="1" t="s">
        <v>81</v>
      </c>
      <c r="D61" s="25" t="n">
        <v>0.256</v>
      </c>
      <c r="E61" s="30" t="s">
        <v>33</v>
      </c>
    </row>
    <row r="62" customFormat="false" ht="12.75" hidden="false" customHeight="false" outlineLevel="0" collapsed="false">
      <c r="B62" s="29" t="n">
        <v>9863</v>
      </c>
      <c r="C62" s="1" t="s">
        <v>82</v>
      </c>
      <c r="D62" s="25" t="n">
        <v>0.276</v>
      </c>
      <c r="E62" s="30" t="s">
        <v>33</v>
      </c>
    </row>
    <row r="63" customFormat="false" ht="15" hidden="false" customHeight="false" outlineLevel="0" collapsed="false">
      <c r="B63" s="27"/>
      <c r="C63" s="27" t="s">
        <v>83</v>
      </c>
      <c r="D63" s="27"/>
    </row>
    <row r="64" customFormat="false" ht="12.75" hidden="false" customHeight="false" outlineLevel="0" collapsed="false">
      <c r="B64" s="29" t="n">
        <v>9864</v>
      </c>
      <c r="C64" s="1" t="s">
        <v>83</v>
      </c>
      <c r="D64" s="25" t="n">
        <v>3.67</v>
      </c>
      <c r="E64" s="30" t="s">
        <v>33</v>
      </c>
    </row>
  </sheetData>
  <mergeCells count="8">
    <mergeCell ref="B1:E1"/>
    <mergeCell ref="D2:E2"/>
    <mergeCell ref="B11:E11"/>
    <mergeCell ref="C35:E35"/>
    <mergeCell ref="C40:E40"/>
    <mergeCell ref="C43:E43"/>
    <mergeCell ref="C47:E47"/>
    <mergeCell ref="C63:D63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E4B7"/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5" activeCellId="0" sqref="A2:J52"/>
    </sheetView>
  </sheetViews>
  <sheetFormatPr defaultColWidth="8.6796875" defaultRowHeight="12.75" zeroHeight="false" outlineLevelRow="0" outlineLevelCol="0"/>
  <cols>
    <col collapsed="false" customWidth="true" hidden="false" outlineLevel="0" max="1" min="1" style="1" width="29.56"/>
    <col collapsed="false" customWidth="true" hidden="false" outlineLevel="0" max="2" min="2" style="1" width="8.88"/>
    <col collapsed="false" customWidth="true" hidden="false" outlineLevel="0" max="3" min="3" style="29" width="10.33"/>
    <col collapsed="false" customWidth="true" hidden="false" outlineLevel="0" max="4" min="4" style="1" width="13.56"/>
    <col collapsed="false" customWidth="true" hidden="false" outlineLevel="0" max="8" min="8" style="1" width="9.67"/>
    <col collapsed="false" customWidth="true" hidden="false" outlineLevel="0" max="9" min="9" style="40" width="13.34"/>
  </cols>
  <sheetData>
    <row r="1" customFormat="false" ht="13.8" hidden="false" customHeight="false" outlineLevel="0" collapsed="false">
      <c r="A1" s="41" t="s">
        <v>84</v>
      </c>
      <c r="B1" s="41" t="s">
        <v>85</v>
      </c>
      <c r="C1" s="41" t="s">
        <v>86</v>
      </c>
      <c r="D1" s="42" t="s">
        <v>87</v>
      </c>
    </row>
    <row r="2" customFormat="false" ht="12.75" hidden="false" customHeight="false" outlineLevel="0" collapsed="false">
      <c r="A2" s="30" t="s">
        <v>88</v>
      </c>
      <c r="B2" s="30" t="s">
        <v>89</v>
      </c>
      <c r="C2" s="43" t="s">
        <v>90</v>
      </c>
      <c r="D2" s="40" t="n">
        <v>5.9</v>
      </c>
    </row>
    <row r="3" customFormat="false" ht="12.75" hidden="false" customHeight="false" outlineLevel="0" collapsed="false">
      <c r="A3" s="30" t="s">
        <v>88</v>
      </c>
      <c r="B3" s="30" t="s">
        <v>91</v>
      </c>
      <c r="C3" s="43" t="s">
        <v>92</v>
      </c>
      <c r="D3" s="40" t="n">
        <v>9.87</v>
      </c>
    </row>
    <row r="4" customFormat="false" ht="12.75" hidden="false" customHeight="false" outlineLevel="0" collapsed="false">
      <c r="A4" s="30" t="s">
        <v>88</v>
      </c>
      <c r="B4" s="30" t="s">
        <v>93</v>
      </c>
      <c r="C4" s="43" t="s">
        <v>94</v>
      </c>
      <c r="D4" s="40" t="n">
        <v>11.72</v>
      </c>
    </row>
    <row r="5" customFormat="false" ht="12.75" hidden="false" customHeight="false" outlineLevel="0" collapsed="false">
      <c r="A5" s="30" t="s">
        <v>95</v>
      </c>
      <c r="B5" s="30" t="s">
        <v>91</v>
      </c>
      <c r="C5" s="43" t="s">
        <v>92</v>
      </c>
      <c r="D5" s="40" t="n">
        <v>11.41</v>
      </c>
    </row>
    <row r="6" customFormat="false" ht="12.75" hidden="false" customHeight="false" outlineLevel="0" collapsed="false">
      <c r="A6" s="30" t="s">
        <v>95</v>
      </c>
      <c r="B6" s="30" t="s">
        <v>93</v>
      </c>
      <c r="C6" s="43" t="s">
        <v>94</v>
      </c>
      <c r="D6" s="40" t="n">
        <v>17.3</v>
      </c>
    </row>
    <row r="7" customFormat="false" ht="12.75" hidden="false" customHeight="false" outlineLevel="0" collapsed="false">
      <c r="A7" s="30" t="s">
        <v>96</v>
      </c>
      <c r="B7" s="30" t="s">
        <v>91</v>
      </c>
      <c r="C7" s="43" t="s">
        <v>92</v>
      </c>
      <c r="D7" s="40" t="n">
        <v>11.41</v>
      </c>
    </row>
    <row r="8" customFormat="false" ht="12.75" hidden="false" customHeight="false" outlineLevel="0" collapsed="false">
      <c r="A8" s="30" t="s">
        <v>97</v>
      </c>
      <c r="B8" s="30" t="s">
        <v>91</v>
      </c>
      <c r="C8" s="43" t="s">
        <v>92</v>
      </c>
      <c r="D8" s="40" t="n">
        <v>16.85</v>
      </c>
      <c r="G8" s="1" t="n">
        <v>600</v>
      </c>
      <c r="H8" s="1" t="n">
        <v>22.9</v>
      </c>
      <c r="I8" s="40" t="n">
        <f aca="false">G8*H8</f>
        <v>13740</v>
      </c>
    </row>
    <row r="9" customFormat="false" ht="12.75" hidden="false" customHeight="false" outlineLevel="0" collapsed="false">
      <c r="A9" s="30" t="s">
        <v>98</v>
      </c>
      <c r="B9" s="30" t="s">
        <v>91</v>
      </c>
      <c r="C9" s="43" t="s">
        <v>92</v>
      </c>
      <c r="D9" s="40" t="n">
        <v>16.85</v>
      </c>
      <c r="G9" s="1" t="n">
        <v>120</v>
      </c>
      <c r="H9" s="1" t="n">
        <v>21.62</v>
      </c>
      <c r="I9" s="40" t="n">
        <f aca="false">G9*H9</f>
        <v>2594.4</v>
      </c>
    </row>
    <row r="10" customFormat="false" ht="12.75" hidden="false" customHeight="false" outlineLevel="0" collapsed="false">
      <c r="A10" s="30" t="s">
        <v>2</v>
      </c>
      <c r="B10" s="30" t="s">
        <v>93</v>
      </c>
      <c r="C10" s="43" t="s">
        <v>94</v>
      </c>
      <c r="D10" s="40" t="n">
        <v>12.65</v>
      </c>
      <c r="G10" s="1" t="n">
        <v>1980</v>
      </c>
      <c r="H10" s="1" t="n">
        <v>19.08</v>
      </c>
      <c r="I10" s="40" t="n">
        <f aca="false">G10*H10</f>
        <v>37778.4</v>
      </c>
    </row>
    <row r="11" customFormat="false" ht="12.75" hidden="false" customHeight="false" outlineLevel="0" collapsed="false">
      <c r="A11" s="30" t="s">
        <v>99</v>
      </c>
      <c r="D11" s="40" t="n">
        <v>17.5</v>
      </c>
      <c r="G11" s="1" t="n">
        <v>360</v>
      </c>
      <c r="H11" s="1" t="n">
        <v>15.26</v>
      </c>
      <c r="I11" s="40" t="n">
        <f aca="false">G11*H11</f>
        <v>5493.6</v>
      </c>
    </row>
    <row r="12" customFormat="false" ht="12.75" hidden="false" customHeight="false" outlineLevel="0" collapsed="false">
      <c r="A12" s="30" t="s">
        <v>100</v>
      </c>
      <c r="D12" s="40" t="n">
        <v>19.56</v>
      </c>
    </row>
    <row r="13" customFormat="false" ht="12.75" hidden="false" customHeight="false" outlineLevel="0" collapsed="false">
      <c r="A13" s="30" t="s">
        <v>101</v>
      </c>
      <c r="B13" s="30" t="s">
        <v>102</v>
      </c>
      <c r="D13" s="40" t="n">
        <v>37</v>
      </c>
      <c r="G13" s="1" t="n">
        <f aca="false">SUM(G8:G12)</f>
        <v>3060</v>
      </c>
      <c r="H13" s="40" t="n">
        <f aca="false">I13/G13</f>
        <v>19.4792156862745</v>
      </c>
      <c r="I13" s="40" t="n">
        <f aca="false">SUM(I8:I12)</f>
        <v>59606.4</v>
      </c>
    </row>
    <row r="14" customFormat="false" ht="12.75" hidden="false" customHeight="false" outlineLevel="0" collapsed="false">
      <c r="A14" s="30" t="s">
        <v>101</v>
      </c>
      <c r="B14" s="30" t="s">
        <v>103</v>
      </c>
      <c r="D14" s="40" t="n">
        <v>59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00"/>
    <pageSetUpPr fitToPage="false"/>
  </sheetPr>
  <dimension ref="A2:L55"/>
  <sheetViews>
    <sheetView showFormulas="false" showGridLines="false" showRowColHeaders="true" showZeros="true" rightToLeft="false" tabSelected="false" showOutlineSymbols="true" defaultGridColor="true" view="normal" topLeftCell="C33" colorId="64" zoomScale="115" zoomScaleNormal="115" zoomScalePageLayoutView="100" workbookViewId="0">
      <selection pane="topLeft" activeCell="G42" activeCellId="0" sqref="A2:J52"/>
    </sheetView>
  </sheetViews>
  <sheetFormatPr defaultColWidth="8.6796875" defaultRowHeight="12.75" zeroHeight="false" outlineLevelRow="0" outlineLevelCol="0"/>
  <cols>
    <col collapsed="false" customWidth="true" hidden="false" outlineLevel="0" max="2" min="2" style="1" width="47.11"/>
    <col collapsed="false" customWidth="true" hidden="false" outlineLevel="0" max="4" min="3" style="29" width="14.11"/>
    <col collapsed="false" customWidth="true" hidden="false" outlineLevel="0" max="6" min="5" style="44" width="11.56"/>
    <col collapsed="false" customWidth="true" hidden="false" outlineLevel="0" max="7" min="7" style="44" width="21.88"/>
    <col collapsed="false" customWidth="true" hidden="false" outlineLevel="0" max="8" min="8" style="44" width="14.56"/>
    <col collapsed="false" customWidth="true" hidden="false" outlineLevel="0" max="9" min="9" style="45" width="11.56"/>
    <col collapsed="false" customWidth="true" hidden="false" outlineLevel="0" max="10" min="10" style="45" width="12.56"/>
    <col collapsed="false" customWidth="true" hidden="false" outlineLevel="0" max="12" min="12" style="46" width="12.67"/>
  </cols>
  <sheetData>
    <row r="2" customFormat="false" ht="12.75" hidden="false" customHeight="false" outlineLevel="0" collapsed="false">
      <c r="A2" s="29"/>
    </row>
    <row r="3" customFormat="false" ht="15" hidden="false" customHeight="false" outlineLevel="0" collapsed="false">
      <c r="A3" s="47" t="s">
        <v>104</v>
      </c>
      <c r="B3" s="47"/>
      <c r="C3" s="48" t="s">
        <v>105</v>
      </c>
      <c r="D3" s="48" t="s">
        <v>106</v>
      </c>
      <c r="E3" s="49" t="s">
        <v>107</v>
      </c>
      <c r="F3" s="49" t="s">
        <v>108</v>
      </c>
      <c r="G3" s="49" t="s">
        <v>84</v>
      </c>
      <c r="H3" s="49" t="s">
        <v>109</v>
      </c>
      <c r="I3" s="49" t="s">
        <v>110</v>
      </c>
      <c r="J3" s="49" t="s">
        <v>111</v>
      </c>
      <c r="K3" s="50"/>
      <c r="L3" s="51" t="s">
        <v>8</v>
      </c>
    </row>
    <row r="4" customFormat="false" ht="12.75" hidden="false" customHeight="false" outlineLevel="0" collapsed="false">
      <c r="A4" s="52" t="n">
        <v>9645</v>
      </c>
      <c r="B4" s="1" t="s">
        <v>112</v>
      </c>
      <c r="C4" s="29" t="n">
        <f aca="false">VLOOKUP(A4,'[1]PRODUTOS ATIVOS'!$A$1:$AD$1048576,7,0)</f>
        <v>12</v>
      </c>
      <c r="D4" s="29" t="n">
        <v>0.16</v>
      </c>
      <c r="E4" s="44" t="n">
        <f aca="false">INSUMOS!$D$41</f>
        <v>0.919</v>
      </c>
      <c r="F4" s="44" t="n">
        <f aca="false">INSUMOS!$D$37/CMV!C4</f>
        <v>0.1525</v>
      </c>
      <c r="G4" s="44" t="n">
        <f aca="false">D4*MP!$D$7</f>
        <v>1.8256</v>
      </c>
      <c r="H4" s="44" t="n">
        <f aca="false">'Consumo salmoura'!$E$18</f>
        <v>0.1806229</v>
      </c>
      <c r="I4" s="45" t="n">
        <f aca="false">INSUMOS!$D$46</f>
        <v>0.44405</v>
      </c>
      <c r="J4" s="45" t="n">
        <f aca="false">INSUMOS!$D$48</f>
        <v>0.256</v>
      </c>
      <c r="L4" s="53" t="n">
        <f aca="false">SUM(E4:J4)</f>
        <v>3.7777729</v>
      </c>
    </row>
    <row r="5" customFormat="false" ht="12.75" hidden="false" customHeight="false" outlineLevel="0" collapsed="false">
      <c r="A5" s="52" t="n">
        <v>9646</v>
      </c>
      <c r="B5" s="1" t="s">
        <v>113</v>
      </c>
      <c r="C5" s="29" t="n">
        <f aca="false">VLOOKUP(A5,'[1]PRODUTOS ATIVOS'!$A$1:$AD$1048576,7,0)</f>
        <v>12</v>
      </c>
      <c r="D5" s="29" t="n">
        <v>0.16</v>
      </c>
      <c r="E5" s="44" t="n">
        <f aca="false">INSUMOS!$D$41</f>
        <v>0.919</v>
      </c>
      <c r="F5" s="44" t="n">
        <f aca="false">INSUMOS!$D$37/CMV!C5</f>
        <v>0.1525</v>
      </c>
      <c r="G5" s="44" t="n">
        <f aca="false">D5*MP!$D$5</f>
        <v>1.8256</v>
      </c>
      <c r="H5" s="44" t="n">
        <f aca="false">'Consumo salmoura'!$E$18</f>
        <v>0.1806229</v>
      </c>
      <c r="I5" s="45" t="n">
        <f aca="false">INSUMOS!$D$46</f>
        <v>0.44405</v>
      </c>
      <c r="J5" s="45" t="n">
        <f aca="false">INSUMOS!$D$48</f>
        <v>0.256</v>
      </c>
      <c r="L5" s="53" t="n">
        <f aca="false">SUM(E5:J5)</f>
        <v>3.7777729</v>
      </c>
    </row>
    <row r="6" customFormat="false" ht="12.75" hidden="false" customHeight="false" outlineLevel="0" collapsed="false">
      <c r="A6" s="52" t="n">
        <v>9648</v>
      </c>
      <c r="B6" s="1" t="s">
        <v>114</v>
      </c>
      <c r="C6" s="29" t="n">
        <f aca="false">VLOOKUP(A6,'[1]PRODUTOS ATIVOS'!$A$1:$AD$1048576,7,0)</f>
        <v>12</v>
      </c>
      <c r="D6" s="29" t="n">
        <v>0.2</v>
      </c>
      <c r="E6" s="44" t="n">
        <f aca="false">INSUMOS!$D$41</f>
        <v>0.919</v>
      </c>
      <c r="F6" s="44" t="n">
        <f aca="false">INSUMOS!$D$37/CMV!C6</f>
        <v>0.1525</v>
      </c>
      <c r="G6" s="44" t="n">
        <f aca="false">D6*MP!$D$3</f>
        <v>1.974</v>
      </c>
      <c r="H6" s="44" t="n">
        <f aca="false">'Consumo salmoura'!$F$18</f>
        <v>0.185</v>
      </c>
      <c r="I6" s="45" t="n">
        <f aca="false">INSUMOS!$D$46</f>
        <v>0.44405</v>
      </c>
      <c r="J6" s="45" t="n">
        <f aca="false">INSUMOS!$D$48</f>
        <v>0.256</v>
      </c>
      <c r="L6" s="53" t="n">
        <f aca="false">SUM(E6:J6)</f>
        <v>3.93055</v>
      </c>
    </row>
    <row r="7" customFormat="false" ht="12.75" hidden="false" customHeight="false" outlineLevel="0" collapsed="false">
      <c r="A7" s="52" t="n">
        <v>9651</v>
      </c>
      <c r="B7" s="1" t="s">
        <v>115</v>
      </c>
      <c r="C7" s="29" t="n">
        <f aca="false">VLOOKUP(A7,'[1]PRODUTOS ATIVOS'!$A$1:$AD$1048576,7,0)</f>
        <v>12</v>
      </c>
      <c r="D7" s="29" t="n">
        <v>0.2</v>
      </c>
      <c r="E7" s="44" t="n">
        <f aca="false">INSUMOS!$D$41</f>
        <v>0.919</v>
      </c>
      <c r="F7" s="44" t="n">
        <f aca="false">INSUMOS!$D$37/CMV!C7</f>
        <v>0.1525</v>
      </c>
      <c r="G7" s="44" t="n">
        <f aca="false">D7*MP!$D$12</f>
        <v>3.912</v>
      </c>
      <c r="H7" s="44" t="n">
        <f aca="false">'Consumo salmoura'!$R$22</f>
        <v>0.183156025</v>
      </c>
      <c r="I7" s="45" t="n">
        <f aca="false">INSUMOS!$D$46</f>
        <v>0.44405</v>
      </c>
      <c r="J7" s="45" t="n">
        <f aca="false">INSUMOS!$D$48</f>
        <v>0.256</v>
      </c>
      <c r="L7" s="53" t="n">
        <f aca="false">SUM(E7:J7)</f>
        <v>5.866706025</v>
      </c>
    </row>
    <row r="8" customFormat="false" ht="12.75" hidden="false" customHeight="false" outlineLevel="0" collapsed="false">
      <c r="A8" s="52" t="n">
        <v>9652</v>
      </c>
      <c r="B8" s="1" t="s">
        <v>116</v>
      </c>
      <c r="C8" s="29" t="n">
        <f aca="false">VLOOKUP(A8,'[1]PRODUTOS ATIVOS'!$A$1:$AD$1048576,7,0)</f>
        <v>12</v>
      </c>
      <c r="D8" s="29" t="n">
        <v>0.2</v>
      </c>
      <c r="E8" s="44" t="n">
        <f aca="false">INSUMOS!$D$41</f>
        <v>0.919</v>
      </c>
      <c r="F8" s="44" t="n">
        <f aca="false">INSUMOS!$D$37/CMV!C8</f>
        <v>0.1525</v>
      </c>
      <c r="G8" s="44" t="n">
        <f aca="false">D7*MP!$D$11</f>
        <v>3.5</v>
      </c>
      <c r="H8" s="44" t="n">
        <f aca="false">'Consumo salmoura'!$R$22</f>
        <v>0.183156025</v>
      </c>
      <c r="I8" s="45" t="n">
        <f aca="false">INSUMOS!$D$46</f>
        <v>0.44405</v>
      </c>
      <c r="J8" s="45" t="n">
        <f aca="false">INSUMOS!$D$48</f>
        <v>0.256</v>
      </c>
      <c r="L8" s="53" t="n">
        <f aca="false">SUM(E8:J8)</f>
        <v>5.454706025</v>
      </c>
    </row>
    <row r="9" customFormat="false" ht="12.75" hidden="false" customHeight="false" outlineLevel="0" collapsed="false">
      <c r="A9" s="52" t="n">
        <v>9653</v>
      </c>
      <c r="B9" s="1" t="s">
        <v>117</v>
      </c>
      <c r="C9" s="29" t="n">
        <f aca="false">VLOOKUP(A9,'[1]PRODUTOS ATIVOS'!$A$1:$AD$1048576,7,0)</f>
        <v>12</v>
      </c>
      <c r="D9" s="29" t="n">
        <v>0.2</v>
      </c>
      <c r="E9" s="44" t="n">
        <f aca="false">INSUMOS!$D$41</f>
        <v>0.919</v>
      </c>
      <c r="F9" s="44" t="n">
        <f aca="false">INSUMOS!$D$37/CMV!C9</f>
        <v>0.1525</v>
      </c>
      <c r="G9" s="44" t="n">
        <f aca="false">D9*MP!$D$4</f>
        <v>2.344</v>
      </c>
      <c r="H9" s="44" t="n">
        <f aca="false">'Consumo salmoura'!$F$18</f>
        <v>0.185</v>
      </c>
      <c r="I9" s="45" t="n">
        <f aca="false">INSUMOS!$D$46</f>
        <v>0.44405</v>
      </c>
      <c r="J9" s="45" t="n">
        <f aca="false">INSUMOS!$D$48</f>
        <v>0.256</v>
      </c>
      <c r="L9" s="53" t="n">
        <f aca="false">SUM(E9:J9)</f>
        <v>4.30055</v>
      </c>
    </row>
    <row r="10" customFormat="false" ht="12.75" hidden="false" customHeight="false" outlineLevel="0" collapsed="false">
      <c r="A10" s="52" t="n">
        <v>9654</v>
      </c>
      <c r="B10" s="1" t="s">
        <v>118</v>
      </c>
      <c r="C10" s="29" t="n">
        <f aca="false">VLOOKUP(A10,'[1]PRODUTOS ATIVOS'!$A$1:$AD$1048576,7,0)</f>
        <v>12</v>
      </c>
      <c r="D10" s="29" t="n">
        <v>0.16</v>
      </c>
      <c r="E10" s="44" t="n">
        <f aca="false">INSUMOS!$D$41</f>
        <v>0.919</v>
      </c>
      <c r="F10" s="44" t="n">
        <f aca="false">INSUMOS!$D$37/CMV!C10</f>
        <v>0.1525</v>
      </c>
      <c r="G10" s="44" t="n">
        <f aca="false">D10*MP!$D$10</f>
        <v>2.024</v>
      </c>
      <c r="H10" s="44" t="n">
        <f aca="false">'Consumo salmoura'!$E$18</f>
        <v>0.1806229</v>
      </c>
      <c r="I10" s="45" t="n">
        <f aca="false">INSUMOS!$D$46</f>
        <v>0.44405</v>
      </c>
      <c r="J10" s="45" t="n">
        <f aca="false">INSUMOS!$D$48</f>
        <v>0.256</v>
      </c>
      <c r="L10" s="53" t="n">
        <f aca="false">SUM(E10:J10)</f>
        <v>3.9761729</v>
      </c>
    </row>
    <row r="11" customFormat="false" ht="12.75" hidden="false" customHeight="false" outlineLevel="0" collapsed="false">
      <c r="A11" s="54" t="n">
        <v>9655</v>
      </c>
      <c r="B11" s="55" t="s">
        <v>119</v>
      </c>
      <c r="C11" s="56" t="n">
        <f aca="false">VLOOKUP(A11,'[1]PRODUTOS ATIVOS'!$A$1:$AD$1048576,7,0)</f>
        <v>12</v>
      </c>
      <c r="D11" s="56" t="n">
        <v>0.2</v>
      </c>
      <c r="E11" s="57" t="n">
        <f aca="false">INSUMOS!$D$41</f>
        <v>0.919</v>
      </c>
      <c r="F11" s="57" t="n">
        <f aca="false">INSUMOS!$D$37/CMV!C11</f>
        <v>0.1525</v>
      </c>
      <c r="G11" s="57" t="n">
        <f aca="false">D11*MP!$D$10</f>
        <v>2.53</v>
      </c>
      <c r="H11" s="57" t="n">
        <f aca="false">'Consumo salmoura'!AA10</f>
        <v>0.248936</v>
      </c>
      <c r="I11" s="58" t="n">
        <f aca="false">INSUMOS!$D$46</f>
        <v>0.44405</v>
      </c>
      <c r="J11" s="58" t="n">
        <f aca="false">INSUMOS!$D$48</f>
        <v>0.256</v>
      </c>
      <c r="K11" s="55"/>
      <c r="L11" s="59" t="n">
        <f aca="false">SUM(E11:J11)</f>
        <v>4.550486</v>
      </c>
    </row>
    <row r="12" customFormat="false" ht="12.75" hidden="false" customHeight="false" outlineLevel="0" collapsed="false">
      <c r="A12" s="29"/>
    </row>
    <row r="13" customFormat="false" ht="15" hidden="false" customHeight="false" outlineLevel="0" collapsed="false">
      <c r="A13" s="47" t="s">
        <v>120</v>
      </c>
      <c r="B13" s="47"/>
      <c r="C13" s="48" t="s">
        <v>105</v>
      </c>
      <c r="D13" s="48" t="s">
        <v>106</v>
      </c>
      <c r="E13" s="49" t="s">
        <v>107</v>
      </c>
      <c r="F13" s="49" t="s">
        <v>108</v>
      </c>
      <c r="G13" s="49" t="s">
        <v>84</v>
      </c>
      <c r="H13" s="49" t="s">
        <v>109</v>
      </c>
      <c r="I13" s="49" t="s">
        <v>110</v>
      </c>
      <c r="J13" s="49" t="s">
        <v>111</v>
      </c>
      <c r="K13" s="50"/>
      <c r="L13" s="51" t="s">
        <v>8</v>
      </c>
    </row>
    <row r="14" customFormat="false" ht="12.75" hidden="false" customHeight="false" outlineLevel="0" collapsed="false">
      <c r="A14" s="52" t="n">
        <v>9357</v>
      </c>
      <c r="B14" s="1" t="s">
        <v>121</v>
      </c>
      <c r="C14" s="29" t="n">
        <f aca="false">VLOOKUP(A14,'[1]PRODUTOS ATIVOS'!$A$1:$AD$1048576,7,0)</f>
        <v>12</v>
      </c>
      <c r="D14" s="29" t="n">
        <v>0.5</v>
      </c>
      <c r="E14" s="44" t="n">
        <f aca="false">INSUMOS!$D$42</f>
        <v>1.38</v>
      </c>
      <c r="F14" s="44" t="n">
        <f aca="false">INSUMOS!$D$38/CMV!C14</f>
        <v>0.0858333333333333</v>
      </c>
      <c r="G14" s="44" t="n">
        <f aca="false">D14*MP!$D$3</f>
        <v>4.935</v>
      </c>
      <c r="H14" s="44" t="n">
        <f aca="false">'Consumo salmoura'!$H$18</f>
        <v>0.32</v>
      </c>
      <c r="I14" s="45" t="n">
        <f aca="false">INSUMOS!$D$44</f>
        <v>0.65966</v>
      </c>
      <c r="J14" s="45" t="n">
        <f aca="false">INSUMOS!$D$54</f>
        <v>0.276</v>
      </c>
      <c r="L14" s="53" t="n">
        <f aca="false">SUM(E14:J14)</f>
        <v>7.65649333333333</v>
      </c>
    </row>
    <row r="15" customFormat="false" ht="12.75" hidden="false" customHeight="false" outlineLevel="0" collapsed="false">
      <c r="A15" s="52" t="n">
        <v>9358</v>
      </c>
      <c r="B15" s="1" t="s">
        <v>122</v>
      </c>
      <c r="C15" s="29" t="n">
        <f aca="false">VLOOKUP(A15,'[1]PRODUTOS ATIVOS'!$A$1:$AD$1048576,7,0)</f>
        <v>12</v>
      </c>
      <c r="D15" s="29" t="n">
        <v>0.45</v>
      </c>
      <c r="E15" s="44" t="n">
        <f aca="false">INSUMOS!$D$42</f>
        <v>1.38</v>
      </c>
      <c r="F15" s="44" t="n">
        <f aca="false">INSUMOS!$D$38/CMV!C15</f>
        <v>0.0858333333333333</v>
      </c>
      <c r="G15" s="44" t="n">
        <f aca="false">D15*MP!$D$4</f>
        <v>5.274</v>
      </c>
      <c r="H15" s="44" t="n">
        <f aca="false">'Consumo salmoura'!$H$18</f>
        <v>0.32</v>
      </c>
      <c r="I15" s="45" t="n">
        <f aca="false">INSUMOS!$D$44</f>
        <v>0.65966</v>
      </c>
      <c r="J15" s="45" t="n">
        <f aca="false">INSUMOS!$D$54</f>
        <v>0.276</v>
      </c>
      <c r="L15" s="53" t="n">
        <f aca="false">SUM(E15:J15)</f>
        <v>7.99549333333333</v>
      </c>
    </row>
    <row r="16" customFormat="false" ht="12.75" hidden="false" customHeight="false" outlineLevel="0" collapsed="false">
      <c r="A16" s="52" t="n">
        <v>9359</v>
      </c>
      <c r="B16" s="1" t="s">
        <v>123</v>
      </c>
      <c r="C16" s="29" t="n">
        <f aca="false">VLOOKUP(A16,'[1]PRODUTOS ATIVOS'!$A$1:$AD$1048576,7,0)</f>
        <v>12</v>
      </c>
      <c r="D16" s="29" t="n">
        <v>0.4</v>
      </c>
      <c r="E16" s="44" t="n">
        <f aca="false">INSUMOS!$D$42</f>
        <v>1.38</v>
      </c>
      <c r="F16" s="44" t="n">
        <f aca="false">INSUMOS!$D$38/CMV!C16</f>
        <v>0.0858333333333333</v>
      </c>
      <c r="G16" s="44" t="n">
        <f aca="false">D16*MP!$D$6</f>
        <v>6.92</v>
      </c>
      <c r="H16" s="44" t="n">
        <f aca="false">'Consumo salmoura'!$H$18</f>
        <v>0.32</v>
      </c>
      <c r="I16" s="45" t="n">
        <f aca="false">INSUMOS!$D$44</f>
        <v>0.65966</v>
      </c>
      <c r="J16" s="45" t="n">
        <f aca="false">INSUMOS!$D$54</f>
        <v>0.276</v>
      </c>
      <c r="L16" s="53" t="n">
        <f aca="false">SUM(E16:J16)</f>
        <v>9.64149333333333</v>
      </c>
    </row>
    <row r="17" customFormat="false" ht="12.75" hidden="false" customHeight="false" outlineLevel="0" collapsed="false">
      <c r="A17" s="54" t="n">
        <v>9656</v>
      </c>
      <c r="B17" s="55" t="s">
        <v>124</v>
      </c>
      <c r="C17" s="56" t="n">
        <f aca="false">VLOOKUP(A17,'[1]PRODUTOS ATIVOS'!$A$1:$AD$1048576,7,0)</f>
        <v>12</v>
      </c>
      <c r="D17" s="56" t="n">
        <v>0.4</v>
      </c>
      <c r="E17" s="57" t="n">
        <f aca="false">INSUMOS!$D$42</f>
        <v>1.38</v>
      </c>
      <c r="F17" s="57" t="n">
        <f aca="false">INSUMOS!$D$38/CMV!C17</f>
        <v>0.0858333333333333</v>
      </c>
      <c r="G17" s="57" t="n">
        <f aca="false">D17*MP!$D$10</f>
        <v>5.06</v>
      </c>
      <c r="H17" s="57" t="n">
        <f aca="false">'Consumo salmoura'!$Y$10</f>
        <v>0.565152</v>
      </c>
      <c r="I17" s="58" t="n">
        <f aca="false">INSUMOS!$D$44</f>
        <v>0.65966</v>
      </c>
      <c r="J17" s="58" t="n">
        <f aca="false">INSUMOS!$D$54</f>
        <v>0.276</v>
      </c>
      <c r="K17" s="55"/>
      <c r="L17" s="59" t="n">
        <f aca="false">SUM(E17:J17)</f>
        <v>8.02664533333334</v>
      </c>
    </row>
    <row r="18" customFormat="false" ht="12.75" hidden="false" customHeight="false" outlineLevel="0" collapsed="false">
      <c r="A18" s="29"/>
    </row>
    <row r="19" customFormat="false" ht="15" hidden="false" customHeight="false" outlineLevel="0" collapsed="false">
      <c r="A19" s="47" t="s">
        <v>125</v>
      </c>
      <c r="B19" s="47"/>
      <c r="C19" s="48" t="s">
        <v>105</v>
      </c>
      <c r="D19" s="48" t="s">
        <v>106</v>
      </c>
      <c r="E19" s="49" t="s">
        <v>29</v>
      </c>
      <c r="F19" s="49" t="s">
        <v>108</v>
      </c>
      <c r="G19" s="49" t="s">
        <v>84</v>
      </c>
      <c r="H19" s="49" t="s">
        <v>109</v>
      </c>
      <c r="I19" s="60"/>
      <c r="J19" s="60"/>
      <c r="K19" s="50"/>
      <c r="L19" s="51" t="s">
        <v>8</v>
      </c>
    </row>
    <row r="20" customFormat="false" ht="12.75" hidden="false" customHeight="false" outlineLevel="0" collapsed="false">
      <c r="A20" s="52" t="n">
        <v>9663</v>
      </c>
      <c r="B20" s="1" t="s">
        <v>126</v>
      </c>
      <c r="C20" s="29" t="n">
        <f aca="false">VLOOKUP(A20,'[1]PRODUTOS ATIVOS'!$A$1:$AD$1048576,7,0)</f>
        <v>30</v>
      </c>
      <c r="D20" s="29" t="n">
        <v>0.08</v>
      </c>
      <c r="E20" s="44" t="n">
        <f aca="false">VLOOKUP(A20,INSUMOS!$A$12:$F$34,4,0)*VLOOKUP(CMV!A20,INSUMOS!$A$12:$F$34,6,0)</f>
        <v>0.342</v>
      </c>
      <c r="F20" s="44" t="n">
        <f aca="false">INSUMOS!$D$36/CMV!C20</f>
        <v>0.0676666666666667</v>
      </c>
      <c r="G20" s="44" t="n">
        <f aca="false">D20*MP!$D$2</f>
        <v>0.472</v>
      </c>
      <c r="H20" s="44" t="n">
        <f aca="false">'Consumo salmoura'!$E$10</f>
        <v>0.0870174</v>
      </c>
      <c r="L20" s="53" t="n">
        <f aca="false">SUM(E20:J20)</f>
        <v>0.968684066666667</v>
      </c>
    </row>
    <row r="21" customFormat="false" ht="12.75" hidden="false" customHeight="false" outlineLevel="0" collapsed="false">
      <c r="A21" s="52" t="n">
        <v>9664</v>
      </c>
      <c r="B21" s="1" t="s">
        <v>127</v>
      </c>
      <c r="C21" s="29" t="n">
        <f aca="false">VLOOKUP(A21,'[1]PRODUTOS ATIVOS'!$A$1:$AD$1048576,7,0)</f>
        <v>30</v>
      </c>
      <c r="D21" s="29" t="n">
        <v>0.08</v>
      </c>
      <c r="E21" s="44" t="n">
        <f aca="false">VLOOKUP(A21,INSUMOS!$A$12:$F$34,4,0)*VLOOKUP(CMV!A21,INSUMOS!$A$12:$F$34,6,0)</f>
        <v>0.342</v>
      </c>
      <c r="F21" s="44" t="n">
        <f aca="false">INSUMOS!$D$36/CMV!C21</f>
        <v>0.0676666666666667</v>
      </c>
      <c r="G21" s="44" t="n">
        <f aca="false">D21*MP!$D$5</f>
        <v>0.9128</v>
      </c>
      <c r="H21" s="44" t="n">
        <f aca="false">'Consumo salmoura'!$E$10</f>
        <v>0.0870174</v>
      </c>
      <c r="L21" s="53" t="n">
        <f aca="false">SUM(E21:J21)</f>
        <v>1.40948406666667</v>
      </c>
    </row>
    <row r="22" customFormat="false" ht="12.75" hidden="false" customHeight="false" outlineLevel="0" collapsed="false">
      <c r="A22" s="52" t="n">
        <v>9665</v>
      </c>
      <c r="B22" s="1" t="s">
        <v>128</v>
      </c>
      <c r="C22" s="29" t="n">
        <f aca="false">VLOOKUP(A22,'[1]PRODUTOS ATIVOS'!$A$1:$AD$1048576,7,0)</f>
        <v>30</v>
      </c>
      <c r="D22" s="29" t="n">
        <v>0.08</v>
      </c>
      <c r="E22" s="44" t="n">
        <f aca="false">VLOOKUP(A22,INSUMOS!$A$12:$F$34,4,0)*VLOOKUP(CMV!A22,INSUMOS!$A$12:$F$34,6,0)</f>
        <v>0.342</v>
      </c>
      <c r="F22" s="44" t="n">
        <f aca="false">INSUMOS!$D$36/CMV!C22</f>
        <v>0.0676666666666667</v>
      </c>
      <c r="G22" s="44" t="n">
        <f aca="false">D22*MP!$D$7</f>
        <v>0.9128</v>
      </c>
      <c r="H22" s="44" t="n">
        <f aca="false">'Consumo salmoura'!$E$10</f>
        <v>0.0870174</v>
      </c>
      <c r="L22" s="53" t="n">
        <f aca="false">SUM(E22:J22)</f>
        <v>1.40948406666667</v>
      </c>
    </row>
    <row r="23" customFormat="false" ht="12.75" hidden="false" customHeight="false" outlineLevel="0" collapsed="false">
      <c r="A23" s="52" t="n">
        <v>9673</v>
      </c>
      <c r="B23" s="1" t="s">
        <v>129</v>
      </c>
      <c r="C23" s="29" t="n">
        <f aca="false">VLOOKUP(A23,'[1]PRODUTOS ATIVOS'!$A$1:$AD$1048576,7,0)</f>
        <v>30</v>
      </c>
      <c r="D23" s="29" t="n">
        <v>0.1</v>
      </c>
      <c r="E23" s="44" t="n">
        <f aca="false">VLOOKUP(A23,INSUMOS!$A$12:$F$34,4,0)*VLOOKUP(CMV!A23,INSUMOS!$A$12:$F$34,6,0)</f>
        <v>0.342</v>
      </c>
      <c r="F23" s="44" t="n">
        <f aca="false">INSUMOS!$D$36/CMV!C23</f>
        <v>0.0676666666666667</v>
      </c>
      <c r="G23" s="44" t="n">
        <f aca="false">D23*MP!$D$12</f>
        <v>1.956</v>
      </c>
      <c r="H23" s="44" t="n">
        <f aca="false">'Consumo salmoura'!$R$11</f>
        <v>0.08842015</v>
      </c>
      <c r="L23" s="53" t="n">
        <f aca="false">SUM(E23:J23)</f>
        <v>2.45408681666667</v>
      </c>
    </row>
    <row r="24" customFormat="false" ht="12.75" hidden="false" customHeight="false" outlineLevel="0" collapsed="false">
      <c r="A24" s="54" t="n">
        <v>10057</v>
      </c>
      <c r="B24" s="55" t="s">
        <v>130</v>
      </c>
      <c r="C24" s="56" t="n">
        <f aca="false">VLOOKUP(A24,'[1]PRODUTOS ATIVOS'!$A$1:$AD$1048576,7,0)</f>
        <v>30</v>
      </c>
      <c r="D24" s="56" t="n">
        <v>0.1</v>
      </c>
      <c r="E24" s="57" t="n">
        <f aca="false">VLOOKUP(A24,INSUMOS!$A$12:$F$34,4,0)*VLOOKUP(CMV!A24,INSUMOS!$A$12:$F$34,6,0)</f>
        <v>0.342</v>
      </c>
      <c r="F24" s="57" t="n">
        <f aca="false">INSUMOS!$D$36/CMV!C24</f>
        <v>0.0676666666666667</v>
      </c>
      <c r="G24" s="57" t="n">
        <f aca="false">D23*MP!$D$11</f>
        <v>1.75</v>
      </c>
      <c r="H24" s="57" t="n">
        <f aca="false">'Consumo salmoura'!$R$11</f>
        <v>0.08842015</v>
      </c>
      <c r="I24" s="58"/>
      <c r="J24" s="58"/>
      <c r="K24" s="55"/>
      <c r="L24" s="59" t="n">
        <f aca="false">SUM(E24:J24)</f>
        <v>2.24808681666667</v>
      </c>
    </row>
    <row r="25" customFormat="false" ht="12.75" hidden="false" customHeight="false" outlineLevel="0" collapsed="false">
      <c r="A25" s="29"/>
    </row>
    <row r="26" customFormat="false" ht="15" hidden="false" customHeight="false" outlineLevel="0" collapsed="false">
      <c r="A26" s="47" t="s">
        <v>131</v>
      </c>
      <c r="B26" s="47"/>
      <c r="C26" s="48" t="s">
        <v>105</v>
      </c>
      <c r="D26" s="48" t="s">
        <v>106</v>
      </c>
      <c r="E26" s="49" t="s">
        <v>29</v>
      </c>
      <c r="F26" s="49" t="s">
        <v>108</v>
      </c>
      <c r="G26" s="49" t="s">
        <v>84</v>
      </c>
      <c r="H26" s="49" t="s">
        <v>109</v>
      </c>
      <c r="I26" s="60"/>
      <c r="J26" s="60"/>
      <c r="K26" s="50"/>
      <c r="L26" s="51" t="s">
        <v>8</v>
      </c>
    </row>
    <row r="27" customFormat="false" ht="12.75" hidden="false" customHeight="false" outlineLevel="0" collapsed="false">
      <c r="A27" s="52" t="n">
        <v>9360</v>
      </c>
      <c r="B27" s="1" t="s">
        <v>132</v>
      </c>
      <c r="C27" s="29" t="n">
        <f aca="false">VLOOKUP(A27,'[1]PRODUTOS ATIVOS'!$A$1:$AD$1048576,7,0)</f>
        <v>18</v>
      </c>
      <c r="D27" s="29" t="n">
        <v>0.12</v>
      </c>
      <c r="E27" s="44" t="n">
        <f aca="false">VLOOKUP(A27,INSUMOS!$A$12:$F$34,4,0)*VLOOKUP(CMV!A27,INSUMOS!$A$12:$F$34,6,0)</f>
        <v>0.399</v>
      </c>
      <c r="F27" s="44" t="n">
        <f aca="false">INSUMOS!$D$36/CMV!C27</f>
        <v>0.112777777777778</v>
      </c>
      <c r="G27" s="44" t="n">
        <f aca="false">D27*MP!$D$5</f>
        <v>1.3692</v>
      </c>
      <c r="H27" s="44" t="n">
        <f aca="false">'Consumo salmoura'!$F$10</f>
        <v>0.15</v>
      </c>
      <c r="L27" s="53" t="n">
        <f aca="false">SUM(E27:J27)</f>
        <v>2.03097777777778</v>
      </c>
    </row>
    <row r="28" customFormat="false" ht="12.75" hidden="false" customHeight="false" outlineLevel="0" collapsed="false">
      <c r="A28" s="52" t="n">
        <v>9361</v>
      </c>
      <c r="B28" s="1" t="s">
        <v>133</v>
      </c>
      <c r="C28" s="29" t="n">
        <f aca="false">VLOOKUP(A28,'[1]PRODUTOS ATIVOS'!$A$1:$AD$1048576,7,0)</f>
        <v>18</v>
      </c>
      <c r="D28" s="29" t="n">
        <v>0.12</v>
      </c>
      <c r="E28" s="44" t="n">
        <f aca="false">VLOOKUP(A28,INSUMOS!$A$12:$F$34,4,0)*VLOOKUP(CMV!A28,INSUMOS!$A$12:$F$34,6,0)</f>
        <v>0.399</v>
      </c>
      <c r="F28" s="44" t="n">
        <f aca="false">INSUMOS!$D$36/CMV!C28</f>
        <v>0.112777777777778</v>
      </c>
      <c r="G28" s="44" t="n">
        <f aca="false">D28*MP!$D$7</f>
        <v>1.3692</v>
      </c>
      <c r="H28" s="44" t="n">
        <f aca="false">'Consumo salmoura'!$F$10</f>
        <v>0.15</v>
      </c>
      <c r="L28" s="53" t="n">
        <f aca="false">SUM(E28:J28)</f>
        <v>2.03097777777778</v>
      </c>
    </row>
    <row r="29" customFormat="false" ht="12.75" hidden="false" customHeight="false" outlineLevel="0" collapsed="false">
      <c r="A29" s="52" t="n">
        <v>9630</v>
      </c>
      <c r="B29" s="1" t="s">
        <v>134</v>
      </c>
      <c r="C29" s="29" t="n">
        <f aca="false">VLOOKUP(INSUMOS!A25,'[1]PRODUTOS ATIVOS'!$A$1:$AD$1048576,7,0)</f>
        <v>18</v>
      </c>
      <c r="D29" s="29" t="n">
        <v>0.15</v>
      </c>
      <c r="E29" s="44" t="n">
        <f aca="false">VLOOKUP(A29,INSUMOS!$A$12:$F$34,4,0)*VLOOKUP(CMV!A29,INSUMOS!$A$12:$F$34,6,0)</f>
        <v>0.399</v>
      </c>
      <c r="F29" s="44" t="n">
        <f aca="false">INSUMOS!$D$36/CMV!C29</f>
        <v>0.112777777777778</v>
      </c>
      <c r="G29" s="44" t="n">
        <f aca="false">D29*MP!$D$3</f>
        <v>1.4805</v>
      </c>
      <c r="H29" s="44" t="n">
        <f aca="false">'Consumo salmoura'!I10</f>
        <v>0.1160232</v>
      </c>
      <c r="L29" s="53" t="n">
        <f aca="false">SUM(E29:J29)</f>
        <v>2.10830097777778</v>
      </c>
    </row>
    <row r="30" customFormat="false" ht="12.75" hidden="false" customHeight="false" outlineLevel="0" collapsed="false">
      <c r="A30" s="54" t="n">
        <v>9565</v>
      </c>
      <c r="B30" s="55" t="s">
        <v>135</v>
      </c>
      <c r="C30" s="56" t="n">
        <f aca="false">VLOOKUP(INSUMOS!A28,'[1]PRODUTOS ATIVOS'!$A$1:$AD$1048576,7,0)</f>
        <v>36</v>
      </c>
      <c r="D30" s="56" t="n">
        <v>0.05</v>
      </c>
      <c r="E30" s="57" t="n">
        <f aca="false">VLOOKUP(A30,INSUMOS!$A$12:$F$34,4,0)*VLOOKUP(CMV!A30,INSUMOS!$A$12:$F$34,6,0)</f>
        <v>0.285</v>
      </c>
      <c r="F30" s="57" t="n">
        <f aca="false">INSUMOS!$D$36/CMV!C30</f>
        <v>0.0563888888888889</v>
      </c>
      <c r="G30" s="57" t="n">
        <f aca="false">D30*MP!$D$2</f>
        <v>0.295</v>
      </c>
      <c r="H30" s="57" t="n">
        <f aca="false">'Consumo salmoura'!$M$10</f>
        <v>0.1160232</v>
      </c>
      <c r="I30" s="58"/>
      <c r="J30" s="58"/>
      <c r="K30" s="55"/>
      <c r="L30" s="59" t="n">
        <f aca="false">SUM(E30:J30)</f>
        <v>0.752412088888889</v>
      </c>
    </row>
    <row r="31" customFormat="false" ht="12.75" hidden="false" customHeight="false" outlineLevel="0" collapsed="false">
      <c r="A31" s="29"/>
    </row>
    <row r="32" customFormat="false" ht="15" hidden="false" customHeight="false" outlineLevel="0" collapsed="false">
      <c r="A32" s="47" t="s">
        <v>136</v>
      </c>
      <c r="B32" s="47"/>
      <c r="C32" s="48" t="s">
        <v>105</v>
      </c>
      <c r="D32" s="48" t="s">
        <v>106</v>
      </c>
      <c r="E32" s="49" t="s">
        <v>29</v>
      </c>
      <c r="F32" s="49" t="s">
        <v>108</v>
      </c>
      <c r="G32" s="49" t="s">
        <v>84</v>
      </c>
      <c r="H32" s="49" t="s">
        <v>109</v>
      </c>
      <c r="I32" s="60"/>
      <c r="J32" s="60"/>
      <c r="K32" s="50"/>
      <c r="L32" s="51" t="s">
        <v>8</v>
      </c>
    </row>
    <row r="33" customFormat="false" ht="12.75" hidden="false" customHeight="false" outlineLevel="0" collapsed="false">
      <c r="A33" s="52" t="n">
        <v>9674</v>
      </c>
      <c r="B33" s="1" t="s">
        <v>137</v>
      </c>
      <c r="C33" s="29" t="n">
        <f aca="false">VLOOKUP(A33,'[1]PRODUTOS ATIVOS'!$A$1:$AD$1048576,7,0)</f>
        <v>6</v>
      </c>
      <c r="D33" s="29" t="n">
        <v>1.01</v>
      </c>
      <c r="E33" s="44" t="n">
        <f aca="false">INSUMOS!D13</f>
        <v>0.7056</v>
      </c>
      <c r="F33" s="44" t="n">
        <f aca="false">INSUMOS!$D$36/CMV!C33</f>
        <v>0.338333333333333</v>
      </c>
      <c r="G33" s="44" t="n">
        <f aca="false">D33*MP!$D$7</f>
        <v>11.5241</v>
      </c>
      <c r="H33" s="44" t="n">
        <f aca="false">'Consumo salmoura'!$J$10</f>
        <v>0.59</v>
      </c>
      <c r="L33" s="53" t="n">
        <f aca="false">SUM(E33:J33)</f>
        <v>13.1580333333333</v>
      </c>
    </row>
    <row r="34" customFormat="false" ht="12.75" hidden="false" customHeight="false" outlineLevel="0" collapsed="false">
      <c r="A34" s="52" t="n">
        <v>9675</v>
      </c>
      <c r="B34" s="1" t="s">
        <v>138</v>
      </c>
      <c r="C34" s="29" t="n">
        <f aca="false">VLOOKUP(A34,'[1]PRODUTOS ATIVOS'!$A$1:$AD$1048576,7,0)</f>
        <v>6</v>
      </c>
      <c r="D34" s="29" t="n">
        <v>1.01</v>
      </c>
      <c r="E34" s="44" t="n">
        <f aca="false">INSUMOS!D14</f>
        <v>0.7056</v>
      </c>
      <c r="F34" s="44" t="n">
        <f aca="false">INSUMOS!$D$36/CMV!C34</f>
        <v>0.338333333333333</v>
      </c>
      <c r="G34" s="44" t="n">
        <f aca="false">D34*MP!$D$5</f>
        <v>11.5241</v>
      </c>
      <c r="H34" s="44" t="n">
        <f aca="false">'Consumo salmoura'!$J$10</f>
        <v>0.59</v>
      </c>
      <c r="L34" s="53" t="n">
        <f aca="false">SUM(E34:J34)</f>
        <v>13.1580333333333</v>
      </c>
    </row>
    <row r="35" customFormat="false" ht="12.75" hidden="false" customHeight="false" outlineLevel="0" collapsed="false">
      <c r="A35" s="52" t="n">
        <v>9677</v>
      </c>
      <c r="B35" s="1" t="s">
        <v>139</v>
      </c>
      <c r="C35" s="29" t="n">
        <f aca="false">VLOOKUP(A35,'[1]PRODUTOS ATIVOS'!$A$1:$AD$1048576,7,0)</f>
        <v>6</v>
      </c>
      <c r="D35" s="29" t="n">
        <v>1.01</v>
      </c>
      <c r="E35" s="44" t="n">
        <f aca="false">INSUMOS!D15</f>
        <v>0.7056</v>
      </c>
      <c r="F35" s="44" t="n">
        <f aca="false">INSUMOS!$D$36/CMV!C35</f>
        <v>0.338333333333333</v>
      </c>
      <c r="G35" s="44" t="n">
        <f aca="false">D35*MP!$D$4</f>
        <v>11.8372</v>
      </c>
      <c r="H35" s="44" t="n">
        <f aca="false">'Consumo salmoura'!$J$10</f>
        <v>0.59</v>
      </c>
      <c r="L35" s="53" t="n">
        <f aca="false">SUM(E35:J35)</f>
        <v>13.4711333333333</v>
      </c>
    </row>
    <row r="36" customFormat="false" ht="12.75" hidden="false" customHeight="false" outlineLevel="0" collapsed="false">
      <c r="A36" s="52" t="n">
        <v>9678</v>
      </c>
      <c r="B36" s="1" t="s">
        <v>140</v>
      </c>
      <c r="C36" s="29" t="n">
        <f aca="false">VLOOKUP(A36,'[1]PRODUTOS ATIVOS'!$A$1:$AD$1048576,7,0)</f>
        <v>6</v>
      </c>
      <c r="D36" s="29" t="n">
        <v>1.01</v>
      </c>
      <c r="E36" s="44" t="n">
        <f aca="false">INSUMOS!D16</f>
        <v>0.7056</v>
      </c>
      <c r="F36" s="44" t="n">
        <f aca="false">INSUMOS!$D$36/CMV!C36</f>
        <v>0.338333333333333</v>
      </c>
      <c r="G36" s="44" t="n">
        <f aca="false">D36*MP!$D$3</f>
        <v>9.9687</v>
      </c>
      <c r="H36" s="44" t="n">
        <f aca="false">'Consumo salmoura'!$J$10</f>
        <v>0.59</v>
      </c>
      <c r="L36" s="53" t="n">
        <f aca="false">SUM(E36:J36)</f>
        <v>11.6026333333333</v>
      </c>
    </row>
    <row r="37" customFormat="false" ht="12.75" hidden="false" customHeight="false" outlineLevel="0" collapsed="false">
      <c r="A37" s="52" t="n">
        <v>9679</v>
      </c>
      <c r="B37" s="1" t="s">
        <v>141</v>
      </c>
      <c r="C37" s="29" t="n">
        <f aca="false">VLOOKUP(A37,'[1]PRODUTOS ATIVOS'!$A$1:$AD$1048576,7,0)</f>
        <v>6</v>
      </c>
      <c r="D37" s="29" t="n">
        <v>1.01</v>
      </c>
      <c r="E37" s="44" t="n">
        <f aca="false">INSUMOS!D17</f>
        <v>0.7056</v>
      </c>
      <c r="F37" s="44" t="n">
        <f aca="false">INSUMOS!$D$36/CMV!C37</f>
        <v>0.338333333333333</v>
      </c>
      <c r="G37" s="44" t="n">
        <f aca="false">D37*MP!$D$2</f>
        <v>5.959</v>
      </c>
      <c r="H37" s="44" t="n">
        <f aca="false">'Consumo salmoura'!$J$10</f>
        <v>0.59</v>
      </c>
      <c r="L37" s="53" t="n">
        <f aca="false">SUM(E37:J37)</f>
        <v>7.59293333333333</v>
      </c>
    </row>
    <row r="38" customFormat="false" ht="12.75" hidden="false" customHeight="false" outlineLevel="0" collapsed="false">
      <c r="A38" s="52" t="n">
        <v>9680</v>
      </c>
      <c r="B38" s="1" t="s">
        <v>142</v>
      </c>
      <c r="C38" s="29" t="n">
        <f aca="false">VLOOKUP(A38,'[1]PRODUTOS ATIVOS'!$A$1:$AD$1048576,7,0)</f>
        <v>6</v>
      </c>
      <c r="D38" s="29" t="n">
        <v>1.01</v>
      </c>
      <c r="E38" s="44" t="n">
        <f aca="false">INSUMOS!D18</f>
        <v>0.7056</v>
      </c>
      <c r="F38" s="44" t="n">
        <f aca="false">INSUMOS!$D$36/CMV!C38</f>
        <v>0.338333333333333</v>
      </c>
      <c r="G38" s="44" t="n">
        <f aca="false">D38*MP!$D$12</f>
        <v>19.7556</v>
      </c>
      <c r="H38" s="44" t="n">
        <f aca="false">'Consumo salmoura'!$T$11</f>
        <v>0.74525555</v>
      </c>
      <c r="L38" s="53" t="n">
        <f aca="false">SUM(E38:J38)</f>
        <v>21.5447888833333</v>
      </c>
    </row>
    <row r="39" customFormat="false" ht="12.75" hidden="false" customHeight="false" outlineLevel="0" collapsed="false">
      <c r="A39" s="54" t="n">
        <v>9681</v>
      </c>
      <c r="B39" s="55" t="s">
        <v>143</v>
      </c>
      <c r="C39" s="56" t="n">
        <f aca="false">VLOOKUP(A39,'[1]PRODUTOS ATIVOS'!$A$1:$AD$1048576,7,0)</f>
        <v>6</v>
      </c>
      <c r="D39" s="56" t="n">
        <v>1.01</v>
      </c>
      <c r="E39" s="57" t="n">
        <f aca="false">INSUMOS!D19</f>
        <v>0.7056</v>
      </c>
      <c r="F39" s="57" t="n">
        <f aca="false">INSUMOS!$D$36/CMV!C39</f>
        <v>0.338333333333333</v>
      </c>
      <c r="G39" s="57" t="n">
        <f aca="false">D38*MP!$D$11</f>
        <v>17.675</v>
      </c>
      <c r="H39" s="57" t="n">
        <f aca="false">'Consumo salmoura'!$T$11</f>
        <v>0.74525555</v>
      </c>
      <c r="I39" s="58"/>
      <c r="J39" s="58"/>
      <c r="K39" s="55"/>
      <c r="L39" s="59" t="n">
        <f aca="false">SUM(E39:J39)</f>
        <v>19.4641888833333</v>
      </c>
    </row>
    <row r="40" customFormat="false" ht="12.75" hidden="false" customHeight="false" outlineLevel="0" collapsed="false">
      <c r="A40" s="29"/>
    </row>
    <row r="41" customFormat="false" ht="15" hidden="false" customHeight="false" outlineLevel="0" collapsed="false">
      <c r="A41" s="47" t="s">
        <v>101</v>
      </c>
      <c r="B41" s="47"/>
      <c r="C41" s="48" t="s">
        <v>105</v>
      </c>
      <c r="D41" s="48" t="s">
        <v>106</v>
      </c>
      <c r="E41" s="49" t="s">
        <v>29</v>
      </c>
      <c r="F41" s="49" t="s">
        <v>108</v>
      </c>
      <c r="G41" s="49" t="s">
        <v>84</v>
      </c>
      <c r="H41" s="49" t="s">
        <v>109</v>
      </c>
      <c r="I41" s="60"/>
      <c r="J41" s="60"/>
      <c r="K41" s="50"/>
      <c r="L41" s="51" t="s">
        <v>8</v>
      </c>
    </row>
    <row r="42" customFormat="false" ht="12.75" hidden="false" customHeight="false" outlineLevel="0" collapsed="false">
      <c r="A42" s="52" t="n">
        <v>9627</v>
      </c>
      <c r="B42" s="1" t="s">
        <v>144</v>
      </c>
      <c r="C42" s="29" t="n">
        <f aca="false">VLOOKUP(A42,'[1]PRODUTOS ATIVOS'!$A$1:$AD$1048576,7,0)</f>
        <v>25</v>
      </c>
      <c r="D42" s="29" t="n">
        <v>0.04</v>
      </c>
      <c r="E42" s="44" t="n">
        <f aca="false">VLOOKUP(A42,INSUMOS!$A$12:$F$34,4,0)*VLOOKUP(CMV!A42,INSUMOS!$A$12:$F$34,6,0)</f>
        <v>0.228</v>
      </c>
      <c r="F42" s="44" t="n">
        <f aca="false">INSUMOS!$D$39/CMV!$C$42</f>
        <v>0.0256</v>
      </c>
      <c r="G42" s="44" t="n">
        <f aca="false">D42*MP!D13</f>
        <v>1.48</v>
      </c>
      <c r="H42" s="44" t="n">
        <v>0</v>
      </c>
      <c r="L42" s="53" t="n">
        <f aca="false">SUM(E42:J42)</f>
        <v>1.7336</v>
      </c>
    </row>
    <row r="43" customFormat="false" ht="12.75" hidden="false" customHeight="false" outlineLevel="0" collapsed="false">
      <c r="A43" s="54" t="n">
        <v>9628</v>
      </c>
      <c r="B43" s="55" t="s">
        <v>145</v>
      </c>
      <c r="C43" s="56" t="n">
        <f aca="false">VLOOKUP(A43,'[1]PRODUTOS ATIVOS'!$A$1:$AD$1048576,7,0)</f>
        <v>25</v>
      </c>
      <c r="D43" s="56" t="n">
        <v>0.04</v>
      </c>
      <c r="E43" s="57" t="n">
        <f aca="false">VLOOKUP(A43,INSUMOS!$A$12:$F$34,4,0)*VLOOKUP(CMV!A43,INSUMOS!$A$12:$F$34,6,0)</f>
        <v>0.228</v>
      </c>
      <c r="F43" s="57" t="n">
        <f aca="false">INSUMOS!$D$39/CMV!$C$42</f>
        <v>0.0256</v>
      </c>
      <c r="G43" s="57" t="n">
        <f aca="false">D43*MP!D14</f>
        <v>2.36</v>
      </c>
      <c r="H43" s="57" t="n">
        <v>0</v>
      </c>
      <c r="I43" s="58"/>
      <c r="J43" s="58"/>
      <c r="K43" s="55"/>
      <c r="L43" s="59" t="n">
        <f aca="false">SUM(E43:J43)</f>
        <v>2.6136</v>
      </c>
    </row>
    <row r="44" customFormat="false" ht="12.75" hidden="false" customHeight="false" outlineLevel="0" collapsed="false">
      <c r="A44" s="29"/>
    </row>
    <row r="45" customFormat="false" ht="15" hidden="false" customHeight="false" outlineLevel="0" collapsed="false">
      <c r="A45" s="47" t="s">
        <v>146</v>
      </c>
      <c r="B45" s="47"/>
      <c r="C45" s="48" t="s">
        <v>105</v>
      </c>
      <c r="D45" s="48" t="s">
        <v>106</v>
      </c>
      <c r="E45" s="49" t="s">
        <v>147</v>
      </c>
      <c r="F45" s="49" t="s">
        <v>148</v>
      </c>
      <c r="G45" s="49" t="s">
        <v>84</v>
      </c>
      <c r="H45" s="49" t="s">
        <v>109</v>
      </c>
      <c r="I45" s="60"/>
      <c r="J45" s="60"/>
      <c r="K45" s="50"/>
      <c r="L45" s="51" t="s">
        <v>8</v>
      </c>
    </row>
    <row r="46" customFormat="false" ht="12.75" hidden="false" customHeight="false" outlineLevel="0" collapsed="false">
      <c r="A46" s="52" t="n">
        <v>9682</v>
      </c>
      <c r="B46" s="1" t="s">
        <v>149</v>
      </c>
      <c r="C46" s="29" t="n">
        <f aca="false">VLOOKUP(A46,'[1]PRODUTOS ATIVOS'!$A$1:$AD$1048576,7,0)</f>
        <v>2</v>
      </c>
      <c r="D46" s="29" t="n">
        <v>2</v>
      </c>
      <c r="E46" s="44" t="n">
        <f aca="false">INSUMOS!$D$64</f>
        <v>3.67</v>
      </c>
      <c r="F46" s="44" t="n">
        <f aca="false">INSUMOS!$D$45</f>
        <v>1.58</v>
      </c>
      <c r="G46" s="44" t="n">
        <f aca="false">D46*MP!$D$7</f>
        <v>22.82</v>
      </c>
      <c r="H46" s="44" t="n">
        <f aca="false">'Consumo salmoura'!$E$28</f>
        <v>1.29581</v>
      </c>
      <c r="L46" s="53" t="n">
        <f aca="false">SUM(E46:J46)</f>
        <v>29.36581</v>
      </c>
    </row>
    <row r="47" customFormat="false" ht="12.75" hidden="false" customHeight="false" outlineLevel="0" collapsed="false">
      <c r="A47" s="52" t="n">
        <v>9685</v>
      </c>
      <c r="B47" s="1" t="s">
        <v>150</v>
      </c>
      <c r="C47" s="29" t="n">
        <f aca="false">VLOOKUP(A47,'[1]PRODUTOS ATIVOS'!$A$1:$AD$1048576,7,0)</f>
        <v>2</v>
      </c>
      <c r="D47" s="29" t="n">
        <v>2</v>
      </c>
      <c r="E47" s="44" t="n">
        <f aca="false">INSUMOS!$D$64</f>
        <v>3.67</v>
      </c>
      <c r="F47" s="44" t="n">
        <f aca="false">INSUMOS!$D$45</f>
        <v>1.58</v>
      </c>
      <c r="G47" s="44" t="n">
        <f aca="false">D47*MP!$D$5</f>
        <v>22.82</v>
      </c>
      <c r="H47" s="44" t="n">
        <f aca="false">'Consumo salmoura'!$E$28</f>
        <v>1.29581</v>
      </c>
      <c r="L47" s="53" t="n">
        <f aca="false">SUM(E47:J47)</f>
        <v>29.36581</v>
      </c>
    </row>
    <row r="48" customFormat="false" ht="12.75" hidden="false" customHeight="false" outlineLevel="0" collapsed="false">
      <c r="A48" s="52" t="n">
        <v>9688</v>
      </c>
      <c r="B48" s="1" t="s">
        <v>151</v>
      </c>
      <c r="C48" s="29" t="n">
        <f aca="false">VLOOKUP(A48,'[1]PRODUTOS ATIVOS'!$A$1:$AD$1048576,7,0)</f>
        <v>2</v>
      </c>
      <c r="D48" s="29" t="n">
        <v>2</v>
      </c>
      <c r="E48" s="44" t="n">
        <f aca="false">INSUMOS!$D$64</f>
        <v>3.67</v>
      </c>
      <c r="F48" s="44" t="n">
        <f aca="false">INSUMOS!$D$45</f>
        <v>1.58</v>
      </c>
      <c r="G48" s="44" t="n">
        <f aca="false">D48*MP!$D$10</f>
        <v>25.3</v>
      </c>
      <c r="H48" s="44" t="n">
        <f aca="false">'Consumo salmoura'!$Y$21</f>
        <v>1.3456</v>
      </c>
      <c r="L48" s="53" t="n">
        <f aca="false">SUM(E48:J48)</f>
        <v>31.8956</v>
      </c>
    </row>
    <row r="49" customFormat="false" ht="12.75" hidden="false" customHeight="false" outlineLevel="0" collapsed="false">
      <c r="A49" s="52" t="n">
        <v>9683</v>
      </c>
      <c r="B49" s="1" t="s">
        <v>152</v>
      </c>
      <c r="C49" s="29" t="n">
        <v>2</v>
      </c>
      <c r="D49" s="29" t="n">
        <v>2</v>
      </c>
      <c r="E49" s="44" t="n">
        <f aca="false">INSUMOS!$D$64</f>
        <v>3.67</v>
      </c>
      <c r="F49" s="44" t="n">
        <f aca="false">INSUMOS!$D$45</f>
        <v>1.58</v>
      </c>
      <c r="G49" s="44" t="n">
        <f aca="false">D49*MP!$D$8</f>
        <v>33.7</v>
      </c>
      <c r="H49" s="44" t="n">
        <f aca="false">'Consumo salmoura'!$Y$21</f>
        <v>1.3456</v>
      </c>
      <c r="L49" s="53" t="n">
        <f aca="false">SUM(E49:J49)</f>
        <v>40.2956</v>
      </c>
    </row>
    <row r="50" customFormat="false" ht="12.75" hidden="false" customHeight="false" outlineLevel="0" collapsed="false">
      <c r="A50" s="52" t="n">
        <v>9686</v>
      </c>
      <c r="B50" s="1" t="s">
        <v>153</v>
      </c>
      <c r="C50" s="29" t="n">
        <v>2</v>
      </c>
      <c r="D50" s="29" t="n">
        <v>2</v>
      </c>
      <c r="E50" s="44" t="n">
        <f aca="false">INSUMOS!$D$64</f>
        <v>3.67</v>
      </c>
      <c r="F50" s="44" t="n">
        <f aca="false">INSUMOS!$D$45</f>
        <v>1.58</v>
      </c>
      <c r="G50" s="44" t="n">
        <f aca="false">D50*MP!$D$9</f>
        <v>33.7</v>
      </c>
      <c r="H50" s="44" t="n">
        <f aca="false">'Consumo salmoura'!$Y$21</f>
        <v>1.3456</v>
      </c>
      <c r="L50" s="53" t="n">
        <f aca="false">SUM(E50:J50)</f>
        <v>40.2956</v>
      </c>
    </row>
    <row r="51" customFormat="false" ht="12.75" hidden="false" customHeight="false" outlineLevel="0" collapsed="false">
      <c r="A51" s="52" t="n">
        <v>9690</v>
      </c>
      <c r="B51" s="1" t="s">
        <v>154</v>
      </c>
      <c r="C51" s="29" t="n">
        <f aca="false">VLOOKUP(A51,'[1]PRODUTOS ATIVOS'!$A$1:$AD$1048576,7,0)</f>
        <v>2</v>
      </c>
      <c r="D51" s="29" t="n">
        <v>2</v>
      </c>
      <c r="E51" s="44" t="n">
        <f aca="false">INSUMOS!$D$64</f>
        <v>3.67</v>
      </c>
      <c r="F51" s="44" t="n">
        <f aca="false">INSUMOS!$D$45</f>
        <v>1.58</v>
      </c>
      <c r="G51" s="44" t="n">
        <f aca="false">D52*MP!$D$3</f>
        <v>19.74</v>
      </c>
      <c r="H51" s="44" t="n">
        <f aca="false">'Consumo salmoura'!$E$28</f>
        <v>1.29581</v>
      </c>
      <c r="L51" s="53" t="n">
        <f aca="false">SUM(E51:J51)</f>
        <v>26.28581</v>
      </c>
    </row>
    <row r="52" customFormat="false" ht="12.75" hidden="false" customHeight="false" outlineLevel="0" collapsed="false">
      <c r="A52" s="52" t="n">
        <v>9564</v>
      </c>
      <c r="B52" s="1" t="s">
        <v>155</v>
      </c>
      <c r="C52" s="29" t="n">
        <f aca="false">VLOOKUP(A52,'[1]PRODUTOS ATIVOS'!$A$1:$AD$1048576,7,0)</f>
        <v>2</v>
      </c>
      <c r="D52" s="29" t="n">
        <v>2</v>
      </c>
      <c r="E52" s="44" t="n">
        <f aca="false">INSUMOS!$D$64</f>
        <v>3.67</v>
      </c>
      <c r="F52" s="44" t="n">
        <f aca="false">INSUMOS!$D$45</f>
        <v>1.58</v>
      </c>
      <c r="G52" s="44" t="n">
        <f aca="false">D52*MP!$D$2</f>
        <v>11.8</v>
      </c>
      <c r="H52" s="44" t="n">
        <f aca="false">'Consumo salmoura'!$E$28</f>
        <v>1.29581</v>
      </c>
      <c r="L52" s="53" t="n">
        <f aca="false">SUM(E52:J52)</f>
        <v>18.34581</v>
      </c>
    </row>
    <row r="53" customFormat="false" ht="12.75" hidden="false" customHeight="false" outlineLevel="0" collapsed="false">
      <c r="A53" s="52" t="n">
        <v>9733</v>
      </c>
      <c r="B53" s="1" t="s">
        <v>156</v>
      </c>
      <c r="C53" s="29" t="n">
        <f aca="false">VLOOKUP(A53,'[1]PRODUTOS ATIVOS'!$A$1:$AD$1048576,7,0)</f>
        <v>2</v>
      </c>
      <c r="D53" s="29" t="n">
        <v>2</v>
      </c>
      <c r="E53" s="44" t="n">
        <f aca="false">INSUMOS!$D$64</f>
        <v>3.67</v>
      </c>
      <c r="F53" s="44" t="n">
        <f aca="false">INSUMOS!$D$45</f>
        <v>1.58</v>
      </c>
      <c r="G53" s="44" t="n">
        <f aca="false">D53*MP!$D$4</f>
        <v>23.44</v>
      </c>
      <c r="H53" s="44" t="n">
        <f aca="false">'Consumo salmoura'!$E$28</f>
        <v>1.29581</v>
      </c>
      <c r="L53" s="53" t="n">
        <f aca="false">SUM(E53:J53)</f>
        <v>29.98581</v>
      </c>
    </row>
    <row r="54" customFormat="false" ht="12.75" hidden="false" customHeight="false" outlineLevel="0" collapsed="false">
      <c r="A54" s="52" t="n">
        <v>9734</v>
      </c>
      <c r="B54" s="1" t="s">
        <v>157</v>
      </c>
      <c r="C54" s="29" t="n">
        <f aca="false">VLOOKUP(A54,'[1]PRODUTOS ATIVOS'!$A$1:$AD$1048576,7,0)</f>
        <v>2</v>
      </c>
      <c r="D54" s="29" t="n">
        <v>2</v>
      </c>
      <c r="E54" s="44" t="n">
        <f aca="false">INSUMOS!$D$64</f>
        <v>3.67</v>
      </c>
      <c r="F54" s="44" t="n">
        <f aca="false">INSUMOS!$D$45</f>
        <v>1.58</v>
      </c>
      <c r="G54" s="44" t="n">
        <f aca="false">D54*MP!$D$12</f>
        <v>39.12</v>
      </c>
      <c r="H54" s="44" t="n">
        <f aca="false">'Consumo salmoura'!$R$33</f>
        <v>1.263145</v>
      </c>
      <c r="L54" s="53" t="n">
        <f aca="false">SUM(E54:J54)</f>
        <v>45.633145</v>
      </c>
    </row>
    <row r="55" customFormat="false" ht="12.75" hidden="false" customHeight="false" outlineLevel="0" collapsed="false">
      <c r="A55" s="54" t="n">
        <v>9684</v>
      </c>
      <c r="B55" s="55" t="s">
        <v>158</v>
      </c>
      <c r="C55" s="56" t="n">
        <f aca="false">VLOOKUP(A55,'[1]PRODUTOS ATIVOS'!$A$1:$AD$1048576,7,0)</f>
        <v>2</v>
      </c>
      <c r="D55" s="56" t="n">
        <v>2</v>
      </c>
      <c r="E55" s="57" t="n">
        <f aca="false">INSUMOS!$D$64</f>
        <v>3.67</v>
      </c>
      <c r="F55" s="57" t="n">
        <f aca="false">INSUMOS!$D$45</f>
        <v>1.58</v>
      </c>
      <c r="G55" s="57" t="n">
        <f aca="false">D54*MP!$D$11</f>
        <v>35</v>
      </c>
      <c r="H55" s="57" t="n">
        <f aca="false">'Consumo salmoura'!$R$33</f>
        <v>1.263145</v>
      </c>
      <c r="I55" s="58"/>
      <c r="J55" s="58"/>
      <c r="K55" s="55"/>
      <c r="L55" s="59" t="n">
        <f aca="false">SUM(E55:J55)</f>
        <v>41.513145</v>
      </c>
    </row>
  </sheetData>
  <mergeCells count="7">
    <mergeCell ref="A3:B3"/>
    <mergeCell ref="A13:B13"/>
    <mergeCell ref="A19:B19"/>
    <mergeCell ref="A26:B26"/>
    <mergeCell ref="A32:B32"/>
    <mergeCell ref="A41:B41"/>
    <mergeCell ref="A45:B45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63"/>
  <sheetViews>
    <sheetView showFormulas="false" showGridLines="false" showRowColHeaders="true" showZeros="true" rightToLeft="false" tabSelected="false" showOutlineSymbols="true" defaultGridColor="true" view="normal" topLeftCell="A31" colorId="64" zoomScale="190" zoomScaleNormal="190" zoomScalePageLayoutView="100" workbookViewId="0">
      <selection pane="topLeft" activeCell="E6" activeCellId="0" sqref="A2:J52"/>
    </sheetView>
  </sheetViews>
  <sheetFormatPr defaultColWidth="8.6796875" defaultRowHeight="12.75" zeroHeight="false" outlineLevelRow="0" outlineLevelCol="0"/>
  <cols>
    <col collapsed="false" customWidth="true" hidden="false" outlineLevel="0" max="2" min="2" style="1" width="47.11"/>
    <col collapsed="false" customWidth="true" hidden="false" outlineLevel="0" max="3" min="3" style="1" width="7.67"/>
    <col collapsed="false" customWidth="true" hidden="false" outlineLevel="0" max="4" min="4" style="40" width="21.33"/>
    <col collapsed="false" customWidth="true" hidden="false" outlineLevel="0" max="5" min="5" style="46" width="17.56"/>
    <col collapsed="false" customWidth="true" hidden="false" outlineLevel="0" max="6" min="6" style="1" width="7.67"/>
    <col collapsed="false" customWidth="true" hidden="false" outlineLevel="0" max="7" min="7" style="61" width="13.44"/>
  </cols>
  <sheetData>
    <row r="2" customFormat="false" ht="12.75" hidden="false" customHeight="false" outlineLevel="0" collapsed="false">
      <c r="A2" s="29"/>
    </row>
    <row r="3" customFormat="false" ht="16.15" hidden="false" customHeight="false" outlineLevel="0" collapsed="false">
      <c r="A3" s="62" t="s">
        <v>104</v>
      </c>
      <c r="B3" s="62"/>
      <c r="C3" s="62"/>
      <c r="D3" s="63" t="s">
        <v>159</v>
      </c>
      <c r="E3" s="64" t="s">
        <v>160</v>
      </c>
      <c r="F3" s="65"/>
      <c r="G3" s="66" t="s">
        <v>161</v>
      </c>
    </row>
    <row r="4" customFormat="false" ht="12.75" hidden="false" customHeight="false" outlineLevel="0" collapsed="false">
      <c r="A4" s="52" t="n">
        <v>9645</v>
      </c>
      <c r="B4" s="1" t="s">
        <v>112</v>
      </c>
      <c r="D4" s="67" t="n">
        <f aca="false">VLOOKUP(A4,[2]CMV!$B$1:$O$1048576,14,0)</f>
        <v>4.75418004</v>
      </c>
      <c r="E4" s="67" t="n">
        <v>4.5521729</v>
      </c>
      <c r="G4" s="68" t="n">
        <f aca="false">1-(D4/E4)</f>
        <v>-0.0443759814131839</v>
      </c>
    </row>
    <row r="5" customFormat="false" ht="12.75" hidden="false" customHeight="false" outlineLevel="0" collapsed="false">
      <c r="A5" s="52" t="n">
        <v>9646</v>
      </c>
      <c r="B5" s="1" t="s">
        <v>113</v>
      </c>
      <c r="D5" s="67" t="n">
        <f aca="false">VLOOKUP(A5,[2]CMV!$B$1:$O$1048576,14,0)</f>
        <v>4.55168004</v>
      </c>
      <c r="E5" s="67" t="n">
        <v>4.5521729</v>
      </c>
      <c r="G5" s="68" t="n">
        <f aca="false">1-(D5/E5)</f>
        <v>0.000108269174046605</v>
      </c>
    </row>
    <row r="6" customFormat="false" ht="12.75" hidden="false" customHeight="false" outlineLevel="0" collapsed="false">
      <c r="A6" s="52" t="n">
        <v>9648</v>
      </c>
      <c r="B6" s="1" t="s">
        <v>114</v>
      </c>
      <c r="D6" s="67" t="n">
        <f aca="false">VLOOKUP(A6,[2]CMV!$B$1:$O$1048576,14,0)</f>
        <v>3.87248004</v>
      </c>
      <c r="E6" s="67" t="n">
        <v>3.52655</v>
      </c>
      <c r="G6" s="68" t="n">
        <f aca="false">1-(D6/E6)</f>
        <v>-0.0980930484467821</v>
      </c>
    </row>
    <row r="7" customFormat="false" ht="12.75" hidden="false" customHeight="false" outlineLevel="0" collapsed="false">
      <c r="A7" s="52" t="n">
        <v>9651</v>
      </c>
      <c r="B7" s="1" t="s">
        <v>115</v>
      </c>
      <c r="D7" s="67" t="n">
        <f aca="false">VLOOKUP(A7,[2]CMV!$B$1:$O$1048576,14,0)</f>
        <v>5.05902584</v>
      </c>
      <c r="E7" s="67" t="n">
        <v>5.866706025</v>
      </c>
      <c r="G7" s="68" t="n">
        <f aca="false">1-(D7/E7)</f>
        <v>0.137671835193071</v>
      </c>
    </row>
    <row r="8" customFormat="false" ht="12.75" hidden="false" customHeight="false" outlineLevel="0" collapsed="false">
      <c r="A8" s="52" t="n">
        <v>9652</v>
      </c>
      <c r="B8" s="1" t="s">
        <v>116</v>
      </c>
      <c r="D8" s="67" t="n">
        <f aca="false">VLOOKUP(A8,[2]CMV!$B$1:$O$1048576,14,0)</f>
        <v>5.79860917333333</v>
      </c>
      <c r="E8" s="67" t="n">
        <v>5.454706025</v>
      </c>
      <c r="G8" s="68" t="n">
        <f aca="false">1-(D8/E8)</f>
        <v>-0.06304705455384</v>
      </c>
    </row>
    <row r="9" customFormat="false" ht="12.75" hidden="false" customHeight="false" outlineLevel="0" collapsed="false">
      <c r="A9" s="52" t="n">
        <v>9653</v>
      </c>
      <c r="B9" s="1" t="s">
        <v>117</v>
      </c>
      <c r="D9" s="67" t="n">
        <f aca="false">VLOOKUP(A9,[2]CMV!$B$1:$O$1048576,14,0)</f>
        <v>4.49248004</v>
      </c>
      <c r="E9" s="67" t="n">
        <v>4.37055</v>
      </c>
      <c r="G9" s="68" t="n">
        <f aca="false">1-(D9/E9)</f>
        <v>-0.0278980997814919</v>
      </c>
    </row>
    <row r="10" customFormat="false" ht="12.75" hidden="false" customHeight="false" outlineLevel="0" collapsed="false">
      <c r="A10" s="52" t="n">
        <v>9654</v>
      </c>
      <c r="B10" s="1" t="s">
        <v>118</v>
      </c>
      <c r="D10" s="67" t="n">
        <f aca="false">VLOOKUP(A10,[2]CMV!$B$1:$O$1048576,14,0)</f>
        <v>4.72448004</v>
      </c>
      <c r="E10" s="67" t="n">
        <v>4.0369729</v>
      </c>
      <c r="G10" s="68" t="n">
        <f aca="false">1-(D10/E10)</f>
        <v>-0.170302639386061</v>
      </c>
    </row>
    <row r="11" customFormat="false" ht="12.75" hidden="false" customHeight="false" outlineLevel="0" collapsed="false">
      <c r="A11" s="54" t="n">
        <v>9655</v>
      </c>
      <c r="B11" s="55" t="s">
        <v>119</v>
      </c>
      <c r="C11" s="55"/>
      <c r="D11" s="69" t="n">
        <f aca="false">VLOOKUP(A11,[2]CMV!$B$1:$O$1048576,14,0)</f>
        <v>5.45648004</v>
      </c>
      <c r="E11" s="69" t="n">
        <v>4.626486</v>
      </c>
      <c r="F11" s="55"/>
      <c r="G11" s="70" t="n">
        <f aca="false">1-(D11/E11)</f>
        <v>-0.179400529905418</v>
      </c>
    </row>
    <row r="12" customFormat="false" ht="12.75" hidden="false" customHeight="false" outlineLevel="0" collapsed="false">
      <c r="A12" s="29"/>
    </row>
    <row r="13" customFormat="false" ht="16.15" hidden="false" customHeight="false" outlineLevel="0" collapsed="false">
      <c r="A13" s="62" t="s">
        <v>120</v>
      </c>
      <c r="B13" s="62"/>
      <c r="C13" s="62"/>
      <c r="D13" s="63" t="s">
        <v>159</v>
      </c>
      <c r="E13" s="71" t="s">
        <v>160</v>
      </c>
      <c r="F13" s="65"/>
      <c r="G13" s="66" t="s">
        <v>161</v>
      </c>
    </row>
    <row r="14" customFormat="false" ht="12.75" hidden="false" customHeight="false" outlineLevel="0" collapsed="false">
      <c r="A14" s="52" t="n">
        <v>9357</v>
      </c>
      <c r="B14" s="1" t="s">
        <v>121</v>
      </c>
      <c r="D14" s="67" t="n">
        <f aca="false">VLOOKUP(A14,[2]CMV!$B$1:$O$1048576,14,0)</f>
        <v>8.6731142</v>
      </c>
      <c r="E14" s="67" t="n">
        <v>6.64649333333333</v>
      </c>
      <c r="G14" s="68" t="n">
        <f aca="false">1-(D14/E14)</f>
        <v>-0.304915805226616</v>
      </c>
    </row>
    <row r="15" customFormat="false" ht="12.75" hidden="false" customHeight="false" outlineLevel="0" collapsed="false">
      <c r="A15" s="52" t="n">
        <v>9358</v>
      </c>
      <c r="B15" s="1" t="s">
        <v>122</v>
      </c>
      <c r="D15" s="67" t="n">
        <f aca="false">VLOOKUP(A15,[2]CMV!$B$1:$O$1048576,14,0)</f>
        <v>8.3641142</v>
      </c>
      <c r="E15" s="67" t="n">
        <v>8.15299333333334</v>
      </c>
      <c r="G15" s="68" t="n">
        <f aca="false">1-(D15/E15)</f>
        <v>-0.0258948901385092</v>
      </c>
    </row>
    <row r="16" customFormat="false" ht="12.75" hidden="false" customHeight="false" outlineLevel="0" collapsed="false">
      <c r="A16" s="52" t="n">
        <v>9359</v>
      </c>
      <c r="B16" s="1" t="s">
        <v>123</v>
      </c>
      <c r="D16" s="67" t="n">
        <f aca="false">VLOOKUP(A16,[2]CMV!$B$1:$O$1048576,14,0)</f>
        <v>9.5781142</v>
      </c>
      <c r="E16" s="67" t="n">
        <v>9.64149333333334</v>
      </c>
      <c r="G16" s="68" t="n">
        <f aca="false">1-(D16/E16)</f>
        <v>0.00657358057949542</v>
      </c>
    </row>
    <row r="17" customFormat="false" ht="12.75" hidden="false" customHeight="false" outlineLevel="0" collapsed="false">
      <c r="A17" s="54" t="n">
        <v>9656</v>
      </c>
      <c r="B17" s="55" t="s">
        <v>124</v>
      </c>
      <c r="C17" s="55"/>
      <c r="D17" s="69" t="n">
        <f aca="false">VLOOKUP(A17,[2]CMV!$B$1:$O$1048576,14,0)</f>
        <v>10.9473142</v>
      </c>
      <c r="E17" s="69" t="n">
        <v>8.17864533333333</v>
      </c>
      <c r="F17" s="55"/>
      <c r="G17" s="70" t="n">
        <f aca="false">1-(D17/E17)</f>
        <v>-0.338524138634857</v>
      </c>
    </row>
    <row r="18" customFormat="false" ht="12.75" hidden="false" customHeight="false" outlineLevel="0" collapsed="false">
      <c r="A18" s="29"/>
      <c r="D18" s="67"/>
    </row>
    <row r="19" customFormat="false" ht="16.15" hidden="false" customHeight="false" outlineLevel="0" collapsed="false">
      <c r="A19" s="62" t="s">
        <v>125</v>
      </c>
      <c r="B19" s="62"/>
      <c r="C19" s="62"/>
      <c r="D19" s="63" t="s">
        <v>159</v>
      </c>
      <c r="E19" s="71" t="s">
        <v>160</v>
      </c>
      <c r="F19" s="65"/>
      <c r="G19" s="66" t="s">
        <v>161</v>
      </c>
    </row>
    <row r="20" customFormat="false" ht="12.75" hidden="false" customHeight="false" outlineLevel="0" collapsed="false">
      <c r="A20" s="52" t="n">
        <v>9663</v>
      </c>
      <c r="B20" s="1" t="s">
        <v>126</v>
      </c>
      <c r="D20" s="67" t="n">
        <f aca="false">VLOOKUP(A20,[2]CMV!$B$1:$O$1048576,14,0)</f>
        <v>1.00109605666667</v>
      </c>
      <c r="E20" s="67" t="n">
        <v>1.10468406666667</v>
      </c>
      <c r="G20" s="68" t="n">
        <f aca="false">1-(D20/E20)</f>
        <v>0.0937716159087655</v>
      </c>
    </row>
    <row r="21" customFormat="false" ht="12.75" hidden="false" customHeight="false" outlineLevel="0" collapsed="false">
      <c r="A21" s="52" t="n">
        <v>9664</v>
      </c>
      <c r="B21" s="1" t="s">
        <v>127</v>
      </c>
      <c r="D21" s="67" t="n">
        <f aca="false">VLOOKUP(A21,[2]CMV!$B$1:$O$1048576,14,0)</f>
        <v>1.73979605666667</v>
      </c>
      <c r="E21" s="67" t="n">
        <v>1.79668406666667</v>
      </c>
      <c r="G21" s="68" t="n">
        <f aca="false">1-(D21/E21)</f>
        <v>0.0316627787018463</v>
      </c>
    </row>
    <row r="22" customFormat="false" ht="12.75" hidden="false" customHeight="false" outlineLevel="0" collapsed="false">
      <c r="A22" s="52" t="n">
        <v>9665</v>
      </c>
      <c r="B22" s="1" t="s">
        <v>128</v>
      </c>
      <c r="D22" s="67" t="n">
        <f aca="false">VLOOKUP(A22,[2]CMV!$B$1:$O$1048576,14,0)</f>
        <v>1.73979605666667</v>
      </c>
      <c r="E22" s="67" t="n">
        <v>1.79668406666667</v>
      </c>
      <c r="G22" s="68" t="n">
        <f aca="false">1-(D22/E22)</f>
        <v>0.0316627787018463</v>
      </c>
    </row>
    <row r="23" customFormat="false" ht="12.75" hidden="false" customHeight="false" outlineLevel="0" collapsed="false">
      <c r="A23" s="52" t="n">
        <v>9673</v>
      </c>
      <c r="B23" s="1" t="s">
        <v>129</v>
      </c>
      <c r="D23" s="67" t="n">
        <f aca="false">VLOOKUP(A23,[2]CMV!$B$1:$O$1048576,14,0)</f>
        <v>2.92582772333333</v>
      </c>
      <c r="E23" s="67" t="n">
        <v>2.45408681666667</v>
      </c>
      <c r="G23" s="68" t="n">
        <f aca="false">1-(D23/E23)</f>
        <v>-0.192226657778726</v>
      </c>
    </row>
    <row r="24" customFormat="false" ht="12.75" hidden="false" customHeight="false" outlineLevel="0" collapsed="false">
      <c r="A24" s="54" t="n">
        <v>10057</v>
      </c>
      <c r="B24" s="55" t="s">
        <v>130</v>
      </c>
      <c r="C24" s="55"/>
      <c r="D24" s="69" t="n">
        <f aca="false">VLOOKUP(A24,[2]CMV!$B$1:$O$1048576,14,0)</f>
        <v>2.44509855666667</v>
      </c>
      <c r="E24" s="69" t="n">
        <v>2.24808681666667</v>
      </c>
      <c r="F24" s="55"/>
      <c r="G24" s="70" t="n">
        <f aca="false">1-(D24/E24)</f>
        <v>-0.0876352899449486</v>
      </c>
    </row>
    <row r="25" customFormat="false" ht="12.75" hidden="false" customHeight="false" outlineLevel="0" collapsed="false">
      <c r="A25" s="29"/>
      <c r="D25" s="67"/>
    </row>
    <row r="26" customFormat="false" ht="16.15" hidden="false" customHeight="false" outlineLevel="0" collapsed="false">
      <c r="A26" s="62" t="s">
        <v>131</v>
      </c>
      <c r="B26" s="62"/>
      <c r="C26" s="62"/>
      <c r="D26" s="63" t="s">
        <v>159</v>
      </c>
      <c r="E26" s="71" t="s">
        <v>160</v>
      </c>
      <c r="F26" s="65"/>
      <c r="G26" s="66" t="s">
        <v>161</v>
      </c>
    </row>
    <row r="27" customFormat="false" ht="12.75" hidden="false" customHeight="false" outlineLevel="0" collapsed="false">
      <c r="A27" s="52" t="n">
        <v>9360</v>
      </c>
      <c r="B27" s="1" t="s">
        <v>132</v>
      </c>
      <c r="D27" s="67" t="n">
        <f aca="false">VLOOKUP(A27,[2]CMV!$B$1:$O$1048576,14,0)</f>
        <v>2.46797483777778</v>
      </c>
      <c r="E27" s="67" t="n">
        <v>2.61177777777778</v>
      </c>
      <c r="G27" s="68" t="n">
        <f aca="false">1-(D27/E27)</f>
        <v>0.0550594086616183</v>
      </c>
    </row>
    <row r="28" customFormat="false" ht="12.75" hidden="false" customHeight="false" outlineLevel="0" collapsed="false">
      <c r="A28" s="52" t="n">
        <v>9361</v>
      </c>
      <c r="B28" s="1" t="s">
        <v>133</v>
      </c>
      <c r="D28" s="67" t="n">
        <f aca="false">VLOOKUP(A28,[2]CMV!$B$1:$O$1048576,14,0)</f>
        <v>2.46797483777778</v>
      </c>
      <c r="E28" s="67" t="n">
        <v>2.61177777777778</v>
      </c>
      <c r="G28" s="68" t="n">
        <f aca="false">1-(D28/E28)</f>
        <v>0.0550594086616183</v>
      </c>
    </row>
    <row r="29" customFormat="false" ht="12.75" hidden="false" customHeight="false" outlineLevel="0" collapsed="false">
      <c r="A29" s="52" t="n">
        <v>9630</v>
      </c>
      <c r="B29" s="1" t="s">
        <v>134</v>
      </c>
      <c r="D29" s="67" t="n">
        <f aca="false">VLOOKUP(A29,[2]CMV!$B$1:$O$1048576,14,0)</f>
        <v>1.93865483777778</v>
      </c>
      <c r="E29" s="67" t="n">
        <v>1.80530097777778</v>
      </c>
      <c r="G29" s="68" t="n">
        <f aca="false">1-(D29/E29)</f>
        <v>-0.0738679376134561</v>
      </c>
    </row>
    <row r="30" customFormat="false" ht="12.75" hidden="false" customHeight="false" outlineLevel="0" collapsed="false">
      <c r="A30" s="54" t="n">
        <v>9565</v>
      </c>
      <c r="B30" s="55" t="s">
        <v>135</v>
      </c>
      <c r="C30" s="55"/>
      <c r="D30" s="69" t="n">
        <f aca="false">VLOOKUP(A30,[2]CMV!$B$1:$O$1048576,14,0)</f>
        <v>0.742485948888889</v>
      </c>
      <c r="E30" s="69" t="n">
        <v>0.837412088888889</v>
      </c>
      <c r="F30" s="55"/>
      <c r="G30" s="70" t="n">
        <f aca="false">1-(D30/E30)</f>
        <v>0.113356543641436</v>
      </c>
    </row>
    <row r="31" customFormat="false" ht="12.75" hidden="false" customHeight="false" outlineLevel="0" collapsed="false">
      <c r="A31" s="29"/>
      <c r="D31" s="67"/>
    </row>
    <row r="32" customFormat="false" ht="16.15" hidden="false" customHeight="false" outlineLevel="0" collapsed="false">
      <c r="A32" s="62" t="s">
        <v>136</v>
      </c>
      <c r="B32" s="62"/>
      <c r="C32" s="62"/>
      <c r="D32" s="63" t="s">
        <v>159</v>
      </c>
      <c r="E32" s="71" t="s">
        <v>160</v>
      </c>
      <c r="F32" s="65"/>
      <c r="G32" s="66" t="s">
        <v>161</v>
      </c>
    </row>
    <row r="33" customFormat="false" ht="12.75" hidden="false" customHeight="false" outlineLevel="0" collapsed="false">
      <c r="A33" s="52" t="n">
        <v>9674</v>
      </c>
      <c r="B33" s="1" t="s">
        <v>137</v>
      </c>
      <c r="D33" s="67" t="n">
        <f aca="false">VLOOKUP(A33,[2]CMV!$B$1:$O$1048576,14,0)</f>
        <v>17.501162</v>
      </c>
      <c r="E33" s="67" t="n">
        <v>18.0464333333333</v>
      </c>
      <c r="G33" s="68" t="n">
        <f aca="false">1-(D33/E33)</f>
        <v>0.0302149085784266</v>
      </c>
    </row>
    <row r="34" customFormat="false" ht="12.75" hidden="false" customHeight="false" outlineLevel="0" collapsed="false">
      <c r="A34" s="52" t="n">
        <v>9675</v>
      </c>
      <c r="B34" s="1" t="s">
        <v>138</v>
      </c>
      <c r="D34" s="67" t="n">
        <f aca="false">VLOOKUP(A34,[2]CMV!$B$1:$O$1048576,14,0)</f>
        <v>17.501162</v>
      </c>
      <c r="E34" s="67" t="n">
        <v>18.0464333333333</v>
      </c>
      <c r="G34" s="68" t="n">
        <f aca="false">1-(D34/E34)</f>
        <v>0.0302149085784266</v>
      </c>
    </row>
    <row r="35" customFormat="false" ht="12.75" hidden="false" customHeight="false" outlineLevel="0" collapsed="false">
      <c r="A35" s="52" t="n">
        <v>9677</v>
      </c>
      <c r="B35" s="1" t="s">
        <v>139</v>
      </c>
      <c r="D35" s="67" t="n">
        <f aca="false">VLOOKUP(A35,[2]CMV!$B$1:$O$1048576,14,0)</f>
        <v>13.8777881951189</v>
      </c>
      <c r="E35" s="67" t="n">
        <v>13.8246333333333</v>
      </c>
      <c r="G35" s="68" t="n">
        <f aca="false">1-(D35/E35)</f>
        <v>-0.00384493827097909</v>
      </c>
    </row>
    <row r="36" customFormat="false" ht="12.75" hidden="false" customHeight="false" outlineLevel="0" collapsed="false">
      <c r="A36" s="52" t="n">
        <v>9678</v>
      </c>
      <c r="B36" s="1" t="s">
        <v>140</v>
      </c>
      <c r="D36" s="67" t="n">
        <f aca="false">VLOOKUP(A36,[2]CMV!$B$1:$O$1048576,14,0)</f>
        <v>10.794762</v>
      </c>
      <c r="E36" s="67" t="n">
        <v>9.56243333333333</v>
      </c>
      <c r="G36" s="68" t="n">
        <f aca="false">1-(D36/E36)</f>
        <v>-0.128871870130685</v>
      </c>
    </row>
    <row r="37" customFormat="false" ht="12.75" hidden="false" customHeight="false" outlineLevel="0" collapsed="false">
      <c r="A37" s="52" t="n">
        <v>9679</v>
      </c>
      <c r="B37" s="1" t="s">
        <v>141</v>
      </c>
      <c r="D37" s="67" t="n">
        <f aca="false">VLOOKUP(A37,[2]CMV!$B$1:$O$1048576,14,0)</f>
        <v>8.512162</v>
      </c>
      <c r="E37" s="67" t="n">
        <v>9.30993333333333</v>
      </c>
      <c r="G37" s="68" t="n">
        <f aca="false">1-(D37/E37)</f>
        <v>0.0856903379186389</v>
      </c>
    </row>
    <row r="38" customFormat="false" ht="12.75" hidden="false" customHeight="false" outlineLevel="0" collapsed="false">
      <c r="A38" s="52" t="n">
        <v>9680</v>
      </c>
      <c r="B38" s="1" t="s">
        <v>142</v>
      </c>
      <c r="D38" s="67" t="n">
        <f aca="false">VLOOKUP(A38,[2]CMV!$B$1:$O$1048576,14,0)</f>
        <v>20.7929203333333</v>
      </c>
      <c r="E38" s="67" t="n">
        <v>21.5447888833333</v>
      </c>
      <c r="G38" s="68" t="n">
        <f aca="false">1-(D38/E38)</f>
        <v>0.0348979307280019</v>
      </c>
    </row>
    <row r="39" customFormat="false" ht="12.75" hidden="false" customHeight="false" outlineLevel="0" collapsed="false">
      <c r="A39" s="54" t="n">
        <v>9681</v>
      </c>
      <c r="B39" s="55" t="s">
        <v>143</v>
      </c>
      <c r="C39" s="55"/>
      <c r="D39" s="69" t="n">
        <f aca="false">VLOOKUP(A39,[2]CMV!$B$1:$O$1048576,14,0)</f>
        <v>17.0580245</v>
      </c>
      <c r="E39" s="69" t="n">
        <v>19.4641888833333</v>
      </c>
      <c r="F39" s="55"/>
      <c r="G39" s="70" t="n">
        <f aca="false">1-(D39/E39)</f>
        <v>0.123620069541848</v>
      </c>
    </row>
    <row r="40" customFormat="false" ht="12.75" hidden="false" customHeight="false" outlineLevel="0" collapsed="false">
      <c r="A40" s="29"/>
      <c r="D40" s="67"/>
    </row>
    <row r="41" customFormat="false" ht="16.15" hidden="false" customHeight="false" outlineLevel="0" collapsed="false">
      <c r="A41" s="62" t="s">
        <v>101</v>
      </c>
      <c r="B41" s="62"/>
      <c r="C41" s="62"/>
      <c r="D41" s="63" t="s">
        <v>159</v>
      </c>
      <c r="E41" s="71" t="s">
        <v>160</v>
      </c>
      <c r="F41" s="65"/>
      <c r="G41" s="66" t="s">
        <v>161</v>
      </c>
    </row>
    <row r="42" customFormat="false" ht="12.75" hidden="false" customHeight="false" outlineLevel="0" collapsed="false">
      <c r="A42" s="52" t="n">
        <v>9627</v>
      </c>
      <c r="B42" s="1" t="s">
        <v>144</v>
      </c>
      <c r="D42" s="67" t="n">
        <f aca="false">VLOOKUP(A42,[2]CMV!$B$1:$O$1048576,14,0)</f>
        <v>1.5175</v>
      </c>
      <c r="E42" s="67" t="n">
        <v>1.6536</v>
      </c>
      <c r="G42" s="68" t="n">
        <f aca="false">1-(D42/E42)</f>
        <v>0.0823052733430093</v>
      </c>
    </row>
    <row r="43" customFormat="false" ht="12.75" hidden="false" customHeight="false" outlineLevel="0" collapsed="false">
      <c r="A43" s="54" t="n">
        <v>9628</v>
      </c>
      <c r="B43" s="55" t="s">
        <v>145</v>
      </c>
      <c r="C43" s="55"/>
      <c r="D43" s="69" t="n">
        <f aca="false">VLOOKUP(A43,[2]CMV!$B$1:$O$1048576,14,0)</f>
        <v>2.4775</v>
      </c>
      <c r="E43" s="69" t="n">
        <v>2.6136</v>
      </c>
      <c r="F43" s="55"/>
      <c r="G43" s="70" t="n">
        <f aca="false">1-(D43/E43)</f>
        <v>0.0520737679828589</v>
      </c>
    </row>
    <row r="44" customFormat="false" ht="12.75" hidden="false" customHeight="false" outlineLevel="0" collapsed="false">
      <c r="A44" s="29"/>
      <c r="D44" s="67"/>
    </row>
    <row r="45" customFormat="false" ht="16.15" hidden="false" customHeight="false" outlineLevel="0" collapsed="false">
      <c r="A45" s="62" t="s">
        <v>146</v>
      </c>
      <c r="B45" s="62"/>
      <c r="C45" s="62"/>
      <c r="D45" s="63" t="s">
        <v>159</v>
      </c>
      <c r="E45" s="71" t="s">
        <v>160</v>
      </c>
      <c r="F45" s="65"/>
      <c r="G45" s="66" t="s">
        <v>161</v>
      </c>
    </row>
    <row r="46" customFormat="false" ht="12.75" hidden="false" customHeight="false" outlineLevel="0" collapsed="false">
      <c r="A46" s="52" t="n">
        <v>9682</v>
      </c>
      <c r="B46" s="1" t="s">
        <v>149</v>
      </c>
      <c r="D46" s="67" t="n">
        <f aca="false">VLOOKUP(A46,[2]CMV!$B$1:$O$1048576,14,0)</f>
        <v>36.743846</v>
      </c>
      <c r="E46" s="67" t="n">
        <v>39.05081</v>
      </c>
      <c r="G46" s="68" t="n">
        <f aca="false">1-(D46/E46)</f>
        <v>0.0590759577074076</v>
      </c>
    </row>
    <row r="47" customFormat="false" ht="12.75" hidden="false" customHeight="false" outlineLevel="0" collapsed="false">
      <c r="A47" s="52" t="n">
        <v>9685</v>
      </c>
      <c r="B47" s="1" t="s">
        <v>150</v>
      </c>
      <c r="D47" s="67" t="n">
        <f aca="false">VLOOKUP(A47,[2]CMV!$B$1:$O$1048576,14,0)</f>
        <v>36.726164</v>
      </c>
      <c r="E47" s="67" t="n">
        <v>39.05081</v>
      </c>
      <c r="G47" s="68" t="n">
        <f aca="false">1-(D47/E47)</f>
        <v>0.0595287524125622</v>
      </c>
    </row>
    <row r="48" customFormat="false" ht="12.75" hidden="false" customHeight="false" outlineLevel="0" collapsed="false">
      <c r="A48" s="52" t="n">
        <v>9688</v>
      </c>
      <c r="B48" s="1" t="s">
        <v>151</v>
      </c>
      <c r="D48" s="67" t="n">
        <f aca="false">VLOOKUP(A48,[2]CMV!$B$1:$O$1048576,14,0)</f>
        <v>50.796454</v>
      </c>
      <c r="E48" s="67" t="n">
        <v>32.6606</v>
      </c>
      <c r="G48" s="68" t="n">
        <f aca="false">1-(D48/E48)</f>
        <v>-0.555282327942537</v>
      </c>
    </row>
    <row r="49" customFormat="false" ht="12.75" hidden="false" customHeight="false" outlineLevel="0" collapsed="false">
      <c r="A49" s="52" t="n">
        <v>9690</v>
      </c>
      <c r="B49" s="1" t="s">
        <v>154</v>
      </c>
      <c r="D49" s="67" t="n">
        <f aca="false">VLOOKUP(A49,[2]CMV!$B$1:$O$1048576,14,0)</f>
        <v>23.456454</v>
      </c>
      <c r="E49" s="67" t="n">
        <v>22.25081</v>
      </c>
      <c r="G49" s="68" t="n">
        <f aca="false">1-(D49/E49)</f>
        <v>-0.0541842746398897</v>
      </c>
    </row>
    <row r="50" customFormat="false" ht="12.75" hidden="false" customHeight="false" outlineLevel="0" collapsed="false">
      <c r="A50" s="52" t="n">
        <v>9564</v>
      </c>
      <c r="B50" s="1" t="s">
        <v>155</v>
      </c>
      <c r="D50" s="67" t="n">
        <f aca="false">VLOOKUP(A50,[2]CMV!$B$1:$O$1048576,14,0)</f>
        <v>18.936454</v>
      </c>
      <c r="E50" s="67" t="n">
        <v>21.75081</v>
      </c>
      <c r="G50" s="68" t="n">
        <f aca="false">1-(D50/E50)</f>
        <v>0.129390859466843</v>
      </c>
    </row>
    <row r="51" customFormat="false" ht="12.75" hidden="false" customHeight="false" outlineLevel="0" collapsed="false">
      <c r="A51" s="52" t="n">
        <v>9733</v>
      </c>
      <c r="B51" s="1" t="s">
        <v>156</v>
      </c>
      <c r="D51" s="67" t="e">
        <f aca="false">VLOOKUP(A51,[2]CMV!$B$1:$O$1048576,14,0)</f>
        <v>#N/A</v>
      </c>
      <c r="E51" s="67" t="n">
        <v>30.69081</v>
      </c>
      <c r="G51" s="68" t="e">
        <f aca="false">1-(D51/E51)</f>
        <v>#N/A</v>
      </c>
    </row>
    <row r="52" customFormat="false" ht="12.75" hidden="false" customHeight="false" outlineLevel="0" collapsed="false">
      <c r="A52" s="52" t="n">
        <v>9734</v>
      </c>
      <c r="B52" s="1" t="s">
        <v>157</v>
      </c>
      <c r="D52" s="67" t="n">
        <f aca="false">VLOOKUP(A52,[2]CMV!$B$1:$O$1048576,14,0)</f>
        <v>43.644454</v>
      </c>
      <c r="E52" s="67" t="n">
        <v>45.638145</v>
      </c>
      <c r="G52" s="68" t="n">
        <f aca="false">1-(D52/E52)</f>
        <v>0.0436847509906462</v>
      </c>
    </row>
    <row r="53" customFormat="false" ht="12.75" hidden="false" customHeight="false" outlineLevel="0" collapsed="false">
      <c r="A53" s="54" t="n">
        <v>9684</v>
      </c>
      <c r="B53" s="55" t="s">
        <v>158</v>
      </c>
      <c r="C53" s="55"/>
      <c r="D53" s="69" t="n">
        <f aca="false">VLOOKUP(A53,[2]CMV!$B$1:$O$1048576,14,0)</f>
        <v>35.858954</v>
      </c>
      <c r="E53" s="69" t="n">
        <v>41.518145</v>
      </c>
      <c r="F53" s="55"/>
      <c r="G53" s="70" t="n">
        <f aca="false">1-(D53/E53)</f>
        <v>0.136306451070972</v>
      </c>
    </row>
    <row r="54" customFormat="false" ht="12.75" hidden="false" customHeight="false" outlineLevel="0" collapsed="false">
      <c r="D54" s="67"/>
    </row>
    <row r="55" customFormat="false" ht="12.75" hidden="false" customHeight="false" outlineLevel="0" collapsed="false">
      <c r="D55" s="67"/>
    </row>
    <row r="56" customFormat="false" ht="12.75" hidden="false" customHeight="false" outlineLevel="0" collapsed="false">
      <c r="D56" s="67"/>
    </row>
    <row r="57" customFormat="false" ht="12.75" hidden="false" customHeight="false" outlineLevel="0" collapsed="false">
      <c r="D57" s="67"/>
    </row>
    <row r="58" customFormat="false" ht="12.75" hidden="false" customHeight="false" outlineLevel="0" collapsed="false">
      <c r="D58" s="67"/>
    </row>
    <row r="59" customFormat="false" ht="12.75" hidden="false" customHeight="false" outlineLevel="0" collapsed="false">
      <c r="D59" s="67"/>
    </row>
    <row r="60" customFormat="false" ht="12.75" hidden="false" customHeight="false" outlineLevel="0" collapsed="false">
      <c r="D60" s="67"/>
    </row>
    <row r="61" customFormat="false" ht="12.75" hidden="false" customHeight="false" outlineLevel="0" collapsed="false">
      <c r="D61" s="67"/>
    </row>
    <row r="62" customFormat="false" ht="12.75" hidden="false" customHeight="false" outlineLevel="0" collapsed="false">
      <c r="D62" s="67"/>
    </row>
    <row r="63" customFormat="false" ht="12.75" hidden="false" customHeight="false" outlineLevel="0" collapsed="false">
      <c r="D63" s="67"/>
    </row>
  </sheetData>
  <mergeCells count="7">
    <mergeCell ref="A3:C3"/>
    <mergeCell ref="A13:C13"/>
    <mergeCell ref="A19:C19"/>
    <mergeCell ref="A26:C26"/>
    <mergeCell ref="A32:C32"/>
    <mergeCell ref="A41:C41"/>
    <mergeCell ref="A45:C45"/>
  </mergeCells>
  <conditionalFormatting sqref="G1:G2 G4:G12 G14:G18 G20:G25 G27:G31 G33:G40 G42:G44 G46:G1048576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285F4"/>
    <pageSetUpPr fitToPage="false"/>
  </sheetPr>
  <dimension ref="A2:Q56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52" activeCellId="0" sqref="A2:J52"/>
    </sheetView>
  </sheetViews>
  <sheetFormatPr defaultColWidth="8.6796875" defaultRowHeight="13.5" zeroHeight="false" outlineLevelRow="0" outlineLevelCol="0"/>
  <cols>
    <col collapsed="false" customWidth="true" hidden="false" outlineLevel="0" max="1" min="1" style="72" width="5.56"/>
    <col collapsed="false" customWidth="true" hidden="false" outlineLevel="0" max="2" min="2" style="73" width="7.37"/>
    <col collapsed="false" customWidth="true" hidden="false" outlineLevel="0" max="3" min="3" style="74" width="38.12"/>
    <col collapsed="false" customWidth="true" hidden="false" outlineLevel="0" max="4" min="4" style="74" width="4.67"/>
    <col collapsed="false" customWidth="true" hidden="false" outlineLevel="0" max="5" min="5" style="75" width="14.44"/>
    <col collapsed="false" customWidth="true" hidden="false" outlineLevel="0" max="6" min="6" style="75" width="10.85"/>
    <col collapsed="false" customWidth="true" hidden="false" outlineLevel="0" max="7" min="7" style="76" width="12.94"/>
    <col collapsed="false" customWidth="true" hidden="false" outlineLevel="0" max="8" min="8" style="75" width="13.22"/>
    <col collapsed="false" customWidth="true" hidden="false" outlineLevel="0" max="9" min="9" style="76" width="15.85"/>
    <col collapsed="false" customWidth="true" hidden="false" outlineLevel="0" max="10" min="10" style="76" width="14.88"/>
    <col collapsed="false" customWidth="true" hidden="false" outlineLevel="0" max="11" min="11" style="1" width="9.56"/>
    <col collapsed="false" customWidth="true" hidden="false" outlineLevel="0" max="12" min="12" style="40" width="14.44"/>
    <col collapsed="false" customWidth="true" hidden="false" outlineLevel="0" max="13" min="13" style="1" width="14.11"/>
    <col collapsed="false" customWidth="true" hidden="false" outlineLevel="0" max="14" min="14" style="40" width="13.11"/>
    <col collapsed="false" customWidth="true" hidden="false" outlineLevel="0" max="15" min="15" style="1" width="23"/>
    <col collapsed="false" customWidth="true" hidden="false" outlineLevel="0" max="16" min="16" style="1" width="14.88"/>
    <col collapsed="false" customWidth="true" hidden="false" outlineLevel="0" max="17" min="17" style="1" width="9.67"/>
  </cols>
  <sheetData>
    <row r="2" customFormat="false" ht="18.55" hidden="false" customHeight="false" outlineLevel="0" collapsed="false">
      <c r="A2" s="77"/>
      <c r="B2" s="78"/>
      <c r="C2" s="78"/>
      <c r="D2" s="79"/>
      <c r="E2" s="80" t="s">
        <v>162</v>
      </c>
      <c r="F2" s="80"/>
      <c r="G2" s="80"/>
      <c r="H2" s="80"/>
      <c r="I2" s="80"/>
      <c r="J2" s="80"/>
      <c r="L2" s="81" t="s">
        <v>108</v>
      </c>
      <c r="M2" s="81"/>
      <c r="N2" s="81"/>
      <c r="O2" s="81"/>
      <c r="P2" s="81"/>
    </row>
    <row r="3" customFormat="false" ht="15.75" hidden="false" customHeight="true" outlineLevel="0" collapsed="false">
      <c r="A3" s="82" t="s">
        <v>163</v>
      </c>
      <c r="B3" s="83" t="s">
        <v>164</v>
      </c>
      <c r="C3" s="83" t="s">
        <v>165</v>
      </c>
      <c r="D3" s="84"/>
      <c r="E3" s="85" t="s">
        <v>160</v>
      </c>
      <c r="F3" s="85" t="s">
        <v>166</v>
      </c>
      <c r="G3" s="86" t="s">
        <v>167</v>
      </c>
      <c r="H3" s="87" t="s">
        <v>168</v>
      </c>
      <c r="I3" s="86" t="s">
        <v>169</v>
      </c>
      <c r="J3" s="87" t="s">
        <v>170</v>
      </c>
      <c r="L3" s="88" t="s">
        <v>171</v>
      </c>
      <c r="M3" s="89" t="s">
        <v>172</v>
      </c>
      <c r="N3" s="89" t="s">
        <v>173</v>
      </c>
      <c r="O3" s="89" t="s">
        <v>174</v>
      </c>
      <c r="P3" s="90" t="s">
        <v>175</v>
      </c>
    </row>
    <row r="4" customFormat="false" ht="13.5" hidden="false" customHeight="false" outlineLevel="0" collapsed="false">
      <c r="A4" s="82"/>
      <c r="B4" s="83"/>
      <c r="C4" s="83"/>
      <c r="D4" s="84"/>
      <c r="E4" s="85"/>
      <c r="F4" s="85"/>
      <c r="G4" s="86"/>
      <c r="H4" s="86"/>
      <c r="I4" s="86"/>
      <c r="J4" s="86"/>
      <c r="L4" s="88"/>
      <c r="M4" s="89"/>
      <c r="N4" s="89"/>
      <c r="O4" s="89"/>
      <c r="P4" s="90"/>
    </row>
    <row r="5" customFormat="false" ht="13.5" hidden="false" customHeight="false" outlineLevel="0" collapsed="false">
      <c r="A5" s="91"/>
      <c r="B5" s="92"/>
      <c r="C5" s="93"/>
      <c r="D5" s="94"/>
      <c r="E5" s="95"/>
      <c r="J5" s="96"/>
      <c r="L5" s="97"/>
      <c r="P5" s="98"/>
    </row>
    <row r="6" customFormat="false" ht="13.5" hidden="false" customHeight="false" outlineLevel="0" collapsed="false">
      <c r="A6" s="99"/>
      <c r="D6" s="98"/>
      <c r="E6" s="95"/>
      <c r="G6" s="75"/>
      <c r="J6" s="96"/>
      <c r="L6" s="97"/>
      <c r="P6" s="98"/>
    </row>
    <row r="7" customFormat="false" ht="13.8" hidden="false" customHeight="false" outlineLevel="0" collapsed="false">
      <c r="A7" s="100" t="n">
        <v>1001</v>
      </c>
      <c r="B7" s="101" t="n">
        <f aca="false">VLOOKUP(A7,'[3]PRODUTOS ATIVOS'!$A$1:$AE$1048576,2,0)</f>
        <v>9627</v>
      </c>
      <c r="C7" s="102" t="s">
        <v>144</v>
      </c>
      <c r="D7" s="102" t="n">
        <v>25</v>
      </c>
      <c r="E7" s="103" t="n">
        <f aca="false">VLOOKUP(B7,CMV!A:L,12,0)</f>
        <v>1.7336</v>
      </c>
      <c r="F7" s="104" t="n">
        <v>0.45</v>
      </c>
      <c r="G7" s="103" t="n">
        <f aca="false">E7/(1-F7)</f>
        <v>3.152</v>
      </c>
      <c r="H7" s="103" t="n">
        <f aca="false">G7*0.965</f>
        <v>3.04168</v>
      </c>
      <c r="I7" s="103" t="n">
        <f aca="false">G7*0.9</f>
        <v>2.8368</v>
      </c>
      <c r="J7" s="103" t="n">
        <f aca="false">G7*0.86</f>
        <v>2.71072</v>
      </c>
      <c r="L7" s="97" t="n">
        <f aca="false">E7*D7</f>
        <v>43.34</v>
      </c>
      <c r="M7" s="40" t="n">
        <f aca="false">$D$7*G7</f>
        <v>78.8</v>
      </c>
      <c r="N7" s="40" t="n">
        <f aca="false">$D7*H7</f>
        <v>76.042</v>
      </c>
      <c r="O7" s="40" t="n">
        <f aca="false">$D$7*I7</f>
        <v>70.92</v>
      </c>
      <c r="P7" s="105" t="n">
        <f aca="false">$D$7*J7</f>
        <v>67.768</v>
      </c>
    </row>
    <row r="8" customFormat="false" ht="13.8" hidden="false" customHeight="false" outlineLevel="0" collapsed="false">
      <c r="A8" s="100" t="n">
        <v>1002</v>
      </c>
      <c r="B8" s="101" t="n">
        <f aca="false">VLOOKUP(A8,'[3]PRODUTOS ATIVOS'!$A$1:$AE$1048576,2,0)</f>
        <v>9628</v>
      </c>
      <c r="C8" s="102" t="s">
        <v>145</v>
      </c>
      <c r="D8" s="102" t="n">
        <v>25</v>
      </c>
      <c r="E8" s="103" t="n">
        <f aca="false">VLOOKUP(B8,CMV!A:L,12,0)</f>
        <v>2.6136</v>
      </c>
      <c r="F8" s="104" t="n">
        <v>0.45</v>
      </c>
      <c r="G8" s="103" t="n">
        <f aca="false">E8/(1-F8)</f>
        <v>4.752</v>
      </c>
      <c r="H8" s="103" t="n">
        <f aca="false">G8*0.965</f>
        <v>4.58568</v>
      </c>
      <c r="I8" s="103" t="n">
        <f aca="false">G8*0.9</f>
        <v>4.2768</v>
      </c>
      <c r="J8" s="103" t="n">
        <f aca="false">G8*0.86</f>
        <v>4.08672</v>
      </c>
      <c r="L8" s="97" t="n">
        <f aca="false">E8*D8</f>
        <v>65.34</v>
      </c>
      <c r="M8" s="40" t="n">
        <f aca="false">$D$7*G8</f>
        <v>118.8</v>
      </c>
      <c r="N8" s="40" t="n">
        <f aca="false">$D8*H8</f>
        <v>114.642</v>
      </c>
      <c r="O8" s="40" t="n">
        <f aca="false">$D$7*I8</f>
        <v>106.92</v>
      </c>
      <c r="P8" s="105" t="n">
        <f aca="false">$D$7*J8</f>
        <v>102.168</v>
      </c>
    </row>
    <row r="9" customFormat="false" ht="13.5" hidden="false" customHeight="false" outlineLevel="0" collapsed="false">
      <c r="A9" s="99"/>
      <c r="C9" s="106"/>
      <c r="D9" s="107"/>
      <c r="E9" s="103"/>
      <c r="F9" s="103"/>
      <c r="G9" s="108"/>
      <c r="H9" s="103"/>
      <c r="I9" s="108"/>
      <c r="J9" s="108"/>
      <c r="L9" s="97"/>
      <c r="P9" s="98"/>
    </row>
    <row r="10" customFormat="false" ht="13.8" hidden="false" customHeight="false" outlineLevel="0" collapsed="false">
      <c r="A10" s="100" t="n">
        <v>2001</v>
      </c>
      <c r="B10" s="101" t="n">
        <f aca="false">VLOOKUP(A10,'[3]PRODUTOS ATIVOS'!$A$1:$AE$1048576,2,0)</f>
        <v>9645</v>
      </c>
      <c r="C10" s="102" t="s">
        <v>112</v>
      </c>
      <c r="D10" s="102" t="n">
        <v>12</v>
      </c>
      <c r="E10" s="103" t="n">
        <f aca="false">VLOOKUP(B10,CMV!A:L,12,0)</f>
        <v>3.7777729</v>
      </c>
      <c r="F10" s="104" t="n">
        <v>0.45</v>
      </c>
      <c r="G10" s="103" t="n">
        <f aca="false">E10/(1-F10)</f>
        <v>6.868678</v>
      </c>
      <c r="H10" s="103" t="n">
        <f aca="false">G10*0.965</f>
        <v>6.62827427</v>
      </c>
      <c r="I10" s="103" t="n">
        <f aca="false">G10*0.9</f>
        <v>6.1818102</v>
      </c>
      <c r="J10" s="103" t="n">
        <f aca="false">G10*0.86</f>
        <v>5.90706308</v>
      </c>
      <c r="L10" s="97" t="n">
        <f aca="false">E10*D10</f>
        <v>45.3332748</v>
      </c>
      <c r="M10" s="40" t="n">
        <f aca="false">$D10*G10</f>
        <v>82.424136</v>
      </c>
      <c r="N10" s="40" t="n">
        <f aca="false">$D10*H10</f>
        <v>79.53929124</v>
      </c>
      <c r="O10" s="40" t="n">
        <f aca="false">$D10*I10</f>
        <v>74.1817224</v>
      </c>
      <c r="P10" s="105" t="n">
        <f aca="false">$D10*J10</f>
        <v>70.88475696</v>
      </c>
    </row>
    <row r="11" customFormat="false" ht="13.8" hidden="false" customHeight="false" outlineLevel="0" collapsed="false">
      <c r="A11" s="100" t="n">
        <v>2002</v>
      </c>
      <c r="B11" s="101" t="n">
        <f aca="false">VLOOKUP(A11,'[3]PRODUTOS ATIVOS'!$A$1:$AE$1048576,2,0)</f>
        <v>9646</v>
      </c>
      <c r="C11" s="102" t="s">
        <v>113</v>
      </c>
      <c r="D11" s="102" t="n">
        <v>12</v>
      </c>
      <c r="E11" s="103" t="n">
        <f aca="false">VLOOKUP(B11,CMV!A:L,12,0)</f>
        <v>3.7777729</v>
      </c>
      <c r="F11" s="104" t="n">
        <v>0.45</v>
      </c>
      <c r="G11" s="103" t="n">
        <f aca="false">E11/(1-F11)</f>
        <v>6.868678</v>
      </c>
      <c r="H11" s="103" t="n">
        <f aca="false">G11*0.965</f>
        <v>6.62827427</v>
      </c>
      <c r="I11" s="103" t="n">
        <f aca="false">G11*0.9</f>
        <v>6.1818102</v>
      </c>
      <c r="J11" s="103" t="n">
        <f aca="false">G11*0.86</f>
        <v>5.90706308</v>
      </c>
      <c r="L11" s="97" t="n">
        <f aca="false">E11*D11</f>
        <v>45.3332748</v>
      </c>
      <c r="M11" s="40" t="n">
        <f aca="false">$D11*G11</f>
        <v>82.424136</v>
      </c>
      <c r="N11" s="40" t="n">
        <f aca="false">$D11*H11</f>
        <v>79.53929124</v>
      </c>
      <c r="O11" s="40" t="n">
        <f aca="false">$D11*I11</f>
        <v>74.1817224</v>
      </c>
      <c r="P11" s="105" t="n">
        <f aca="false">$D11*J11</f>
        <v>70.88475696</v>
      </c>
    </row>
    <row r="12" customFormat="false" ht="13.8" hidden="false" customHeight="false" outlineLevel="0" collapsed="false">
      <c r="A12" s="100" t="n">
        <v>2004</v>
      </c>
      <c r="B12" s="101" t="n">
        <f aca="false">VLOOKUP(A12,'[3]PRODUTOS ATIVOS'!$A$1:$AE$1048576,2,0)</f>
        <v>9648</v>
      </c>
      <c r="C12" s="102" t="s">
        <v>114</v>
      </c>
      <c r="D12" s="102" t="n">
        <v>12</v>
      </c>
      <c r="E12" s="103" t="n">
        <f aca="false">VLOOKUP(B12,CMV!A:L,12,0)</f>
        <v>3.93055</v>
      </c>
      <c r="F12" s="104" t="n">
        <v>0.45</v>
      </c>
      <c r="G12" s="103" t="n">
        <f aca="false">E12/(1-F12)</f>
        <v>7.14645454545455</v>
      </c>
      <c r="H12" s="103" t="n">
        <f aca="false">G12*0.965</f>
        <v>6.89632863636364</v>
      </c>
      <c r="I12" s="103" t="n">
        <f aca="false">G12*0.9</f>
        <v>6.43180909090909</v>
      </c>
      <c r="J12" s="103" t="n">
        <f aca="false">G12*0.86</f>
        <v>6.14595090909091</v>
      </c>
      <c r="L12" s="97" t="n">
        <f aca="false">E12*D12</f>
        <v>47.1666</v>
      </c>
      <c r="M12" s="40" t="n">
        <f aca="false">$D12*G12</f>
        <v>85.7574545454545</v>
      </c>
      <c r="N12" s="40" t="n">
        <f aca="false">$D12*H12</f>
        <v>82.7559436363636</v>
      </c>
      <c r="O12" s="40" t="n">
        <f aca="false">$D12*I12</f>
        <v>77.1817090909091</v>
      </c>
      <c r="P12" s="105" t="n">
        <f aca="false">$D12*J12</f>
        <v>73.7514109090909</v>
      </c>
    </row>
    <row r="13" customFormat="false" ht="13.8" hidden="false" customHeight="false" outlineLevel="0" collapsed="false">
      <c r="A13" s="109" t="n">
        <v>2031</v>
      </c>
      <c r="B13" s="101" t="n">
        <f aca="false">VLOOKUP(A13,'[3]PRODUTOS ATIVOS'!$A$1:$AE$1048576,2,0)</f>
        <v>9651</v>
      </c>
      <c r="C13" s="110" t="s">
        <v>115</v>
      </c>
      <c r="D13" s="102" t="n">
        <v>12</v>
      </c>
      <c r="E13" s="103" t="n">
        <f aca="false">VLOOKUP(B13,CMV!A:L,12,0)</f>
        <v>5.866706025</v>
      </c>
      <c r="F13" s="104" t="n">
        <v>0.45</v>
      </c>
      <c r="G13" s="103" t="n">
        <f aca="false">E13/(1-F13)</f>
        <v>10.6667382272727</v>
      </c>
      <c r="H13" s="103" t="n">
        <f aca="false">G13*0.965</f>
        <v>10.2934023893182</v>
      </c>
      <c r="I13" s="103" t="n">
        <f aca="false">G13*0.9</f>
        <v>9.60006440454546</v>
      </c>
      <c r="J13" s="103" t="n">
        <f aca="false">G13*0.86</f>
        <v>9.17339487545455</v>
      </c>
      <c r="L13" s="97" t="n">
        <f aca="false">E13*D13</f>
        <v>70.4004723</v>
      </c>
      <c r="M13" s="40" t="n">
        <f aca="false">$D13*G13</f>
        <v>128.000858727273</v>
      </c>
      <c r="N13" s="40" t="n">
        <f aca="false">$D13*H13</f>
        <v>123.520828671818</v>
      </c>
      <c r="O13" s="40" t="n">
        <f aca="false">$D13*I13</f>
        <v>115.200772854545</v>
      </c>
      <c r="P13" s="105" t="n">
        <f aca="false">$D13*J13</f>
        <v>110.080738505455</v>
      </c>
    </row>
    <row r="14" customFormat="false" ht="13.8" hidden="false" customHeight="false" outlineLevel="0" collapsed="false">
      <c r="A14" s="109" t="n">
        <v>2032</v>
      </c>
      <c r="B14" s="101" t="n">
        <f aca="false">VLOOKUP(A14,'[3]PRODUTOS ATIVOS'!$A$1:$AE$1048576,2,0)</f>
        <v>9652</v>
      </c>
      <c r="C14" s="110" t="s">
        <v>116</v>
      </c>
      <c r="D14" s="102" t="n">
        <v>12</v>
      </c>
      <c r="E14" s="103" t="n">
        <f aca="false">VLOOKUP(B14,CMV!A:L,12,0)</f>
        <v>5.454706025</v>
      </c>
      <c r="F14" s="104" t="n">
        <v>0.45</v>
      </c>
      <c r="G14" s="103" t="n">
        <f aca="false">E14/(1-F14)</f>
        <v>9.91764731818182</v>
      </c>
      <c r="H14" s="103" t="n">
        <f aca="false">G14*0.965</f>
        <v>9.57052966204545</v>
      </c>
      <c r="I14" s="103" t="n">
        <f aca="false">G14*0.9</f>
        <v>8.92588258636364</v>
      </c>
      <c r="J14" s="103" t="n">
        <f aca="false">G14*0.86</f>
        <v>8.52917669363636</v>
      </c>
      <c r="L14" s="97" t="n">
        <f aca="false">E14*D14</f>
        <v>65.4564723</v>
      </c>
      <c r="M14" s="40" t="n">
        <f aca="false">$D14*G14</f>
        <v>119.011767818182</v>
      </c>
      <c r="N14" s="40" t="n">
        <f aca="false">$D14*H14</f>
        <v>114.846355944545</v>
      </c>
      <c r="O14" s="40" t="n">
        <f aca="false">$D14*I14</f>
        <v>107.110591036364</v>
      </c>
      <c r="P14" s="105" t="n">
        <f aca="false">$D14*J14</f>
        <v>102.350120323636</v>
      </c>
    </row>
    <row r="15" customFormat="false" ht="13.8" hidden="false" customHeight="false" outlineLevel="0" collapsed="false">
      <c r="A15" s="109" t="n">
        <v>2005</v>
      </c>
      <c r="B15" s="101" t="n">
        <f aca="false">VLOOKUP(A15,'[3]PRODUTOS ATIVOS'!$A$1:$AE$1048576,2,0)</f>
        <v>9357</v>
      </c>
      <c r="C15" s="110" t="s">
        <v>121</v>
      </c>
      <c r="D15" s="102" t="n">
        <v>12</v>
      </c>
      <c r="E15" s="103" t="n">
        <f aca="false">VLOOKUP(B15,CMV!A:L,12,0)</f>
        <v>7.65649333333333</v>
      </c>
      <c r="F15" s="104" t="n">
        <v>0.45</v>
      </c>
      <c r="G15" s="103" t="n">
        <f aca="false">E15/(1-F15)</f>
        <v>13.920896969697</v>
      </c>
      <c r="H15" s="103" t="n">
        <f aca="false">G15*0.965</f>
        <v>13.4336655757576</v>
      </c>
      <c r="I15" s="103" t="n">
        <f aca="false">G15*0.9</f>
        <v>12.5288072727273</v>
      </c>
      <c r="J15" s="103" t="n">
        <f aca="false">G15*0.86</f>
        <v>11.9719713939394</v>
      </c>
      <c r="L15" s="97" t="n">
        <f aca="false">E15*D15</f>
        <v>91.87792</v>
      </c>
      <c r="M15" s="40" t="n">
        <f aca="false">$D15*G15</f>
        <v>167.050763636364</v>
      </c>
      <c r="N15" s="40" t="n">
        <f aca="false">$D15*H15</f>
        <v>161.203986909091</v>
      </c>
      <c r="O15" s="40" t="n">
        <f aca="false">$D15*I15</f>
        <v>150.345687272727</v>
      </c>
      <c r="P15" s="105" t="n">
        <f aca="false">$D15*J15</f>
        <v>143.663656727273</v>
      </c>
    </row>
    <row r="16" customFormat="false" ht="13.8" hidden="false" customHeight="false" outlineLevel="0" collapsed="false">
      <c r="A16" s="109" t="n">
        <v>2021</v>
      </c>
      <c r="B16" s="101" t="n">
        <f aca="false">VLOOKUP(A16,'[3]PRODUTOS ATIVOS'!$A$1:$AE$1048576,2,0)</f>
        <v>9358</v>
      </c>
      <c r="C16" s="110" t="s">
        <v>122</v>
      </c>
      <c r="D16" s="102" t="n">
        <v>12</v>
      </c>
      <c r="E16" s="103" t="n">
        <f aca="false">VLOOKUP(B16,CMV!A:L,12,0)</f>
        <v>7.99549333333333</v>
      </c>
      <c r="F16" s="104" t="n">
        <v>0.45</v>
      </c>
      <c r="G16" s="103" t="n">
        <f aca="false">E16/(1-F16)</f>
        <v>14.5372606060606</v>
      </c>
      <c r="H16" s="103" t="n">
        <f aca="false">G16*0.965</f>
        <v>14.0284564848485</v>
      </c>
      <c r="I16" s="103" t="n">
        <f aca="false">G16*0.9</f>
        <v>13.0835345454545</v>
      </c>
      <c r="J16" s="103" t="n">
        <f aca="false">G16*0.86</f>
        <v>12.5020441212121</v>
      </c>
      <c r="L16" s="97" t="n">
        <f aca="false">E16*D16</f>
        <v>95.94592</v>
      </c>
      <c r="M16" s="40" t="n">
        <f aca="false">$D16*G16</f>
        <v>174.447127272727</v>
      </c>
      <c r="N16" s="40" t="n">
        <f aca="false">$D16*H16</f>
        <v>168.341477818182</v>
      </c>
      <c r="O16" s="40" t="n">
        <f aca="false">$D16*I16</f>
        <v>157.002414545455</v>
      </c>
      <c r="P16" s="105" t="n">
        <f aca="false">$D16*J16</f>
        <v>150.024529454545</v>
      </c>
    </row>
    <row r="17" customFormat="false" ht="13.8" hidden="false" customHeight="false" outlineLevel="0" collapsed="false">
      <c r="A17" s="109" t="n">
        <v>2022</v>
      </c>
      <c r="B17" s="101" t="n">
        <f aca="false">VLOOKUP(A17,'[3]PRODUTOS ATIVOS'!$A$1:$AE$1048576,2,0)</f>
        <v>9359</v>
      </c>
      <c r="C17" s="110" t="s">
        <v>123</v>
      </c>
      <c r="D17" s="102" t="n">
        <v>12</v>
      </c>
      <c r="E17" s="103" t="n">
        <f aca="false">VLOOKUP(B17,CMV!A:L,12,0)</f>
        <v>9.64149333333334</v>
      </c>
      <c r="F17" s="104" t="n">
        <v>0.45</v>
      </c>
      <c r="G17" s="103" t="n">
        <f aca="false">E17/(1-F17)</f>
        <v>17.5299878787879</v>
      </c>
      <c r="H17" s="103" t="n">
        <f aca="false">G17*0.965</f>
        <v>16.9164383030303</v>
      </c>
      <c r="I17" s="103" t="n">
        <f aca="false">G17*0.9</f>
        <v>15.7769890909091</v>
      </c>
      <c r="J17" s="103" t="n">
        <f aca="false">G17*0.86</f>
        <v>15.0757895757576</v>
      </c>
      <c r="L17" s="97" t="n">
        <f aca="false">E17*D17</f>
        <v>115.69792</v>
      </c>
      <c r="M17" s="40" t="n">
        <f aca="false">$D17*G17</f>
        <v>210.359854545455</v>
      </c>
      <c r="N17" s="40" t="n">
        <f aca="false">$D17*H17</f>
        <v>202.997259636364</v>
      </c>
      <c r="O17" s="40" t="n">
        <f aca="false">$D17*I17</f>
        <v>189.323869090909</v>
      </c>
      <c r="P17" s="105" t="n">
        <f aca="false">$D17*J17</f>
        <v>180.909474909091</v>
      </c>
    </row>
    <row r="18" customFormat="false" ht="13.8" hidden="false" customHeight="false" outlineLevel="0" collapsed="false">
      <c r="A18" s="109" t="n">
        <v>2024</v>
      </c>
      <c r="B18" s="101" t="n">
        <f aca="false">VLOOKUP(A18,'[3]PRODUTOS ATIVOS'!$A$1:$AE$1048576,2,0)</f>
        <v>9656</v>
      </c>
      <c r="C18" s="110" t="s">
        <v>124</v>
      </c>
      <c r="D18" s="102" t="n">
        <v>12</v>
      </c>
      <c r="E18" s="103" t="n">
        <f aca="false">VLOOKUP(B18,CMV!A:L,12,0)</f>
        <v>8.02664533333334</v>
      </c>
      <c r="F18" s="104" t="n">
        <v>0.45</v>
      </c>
      <c r="G18" s="103" t="n">
        <f aca="false">E18/(1-F18)</f>
        <v>14.5939006060606</v>
      </c>
      <c r="H18" s="103" t="n">
        <f aca="false">G18*0.965</f>
        <v>14.0831140848485</v>
      </c>
      <c r="I18" s="103" t="n">
        <f aca="false">G18*0.9</f>
        <v>13.1345105454545</v>
      </c>
      <c r="J18" s="103" t="n">
        <f aca="false">G18*0.86</f>
        <v>12.5507545212121</v>
      </c>
      <c r="L18" s="97" t="n">
        <f aca="false">E18*D18</f>
        <v>96.319744</v>
      </c>
      <c r="M18" s="40" t="n">
        <f aca="false">$D18*G18</f>
        <v>175.126807272727</v>
      </c>
      <c r="N18" s="40" t="n">
        <f aca="false">$D18*H18</f>
        <v>168.997369018182</v>
      </c>
      <c r="O18" s="40" t="n">
        <f aca="false">$D18*I18</f>
        <v>157.614126545455</v>
      </c>
      <c r="P18" s="105" t="n">
        <f aca="false">$D18*J18</f>
        <v>150.609054254545</v>
      </c>
    </row>
    <row r="19" customFormat="false" ht="13.8" hidden="false" customHeight="false" outlineLevel="0" collapsed="false">
      <c r="A19" s="109"/>
      <c r="B19" s="101" t="n">
        <v>9653</v>
      </c>
      <c r="C19" s="110" t="s">
        <v>117</v>
      </c>
      <c r="D19" s="102" t="n">
        <v>12</v>
      </c>
      <c r="E19" s="103" t="n">
        <f aca="false">VLOOKUP(B19,CMV!A:L,12,0)</f>
        <v>4.30055</v>
      </c>
      <c r="F19" s="104" t="n">
        <v>0.45</v>
      </c>
      <c r="G19" s="103" t="n">
        <f aca="false">E19/(1-F19)</f>
        <v>7.81918181818182</v>
      </c>
      <c r="H19" s="103" t="n">
        <f aca="false">G19*0.965</f>
        <v>7.54551045454546</v>
      </c>
      <c r="I19" s="103" t="n">
        <f aca="false">G19*0.9</f>
        <v>7.03726363636364</v>
      </c>
      <c r="J19" s="103" t="n">
        <f aca="false">G19*0.86</f>
        <v>6.72449636363637</v>
      </c>
      <c r="L19" s="97" t="n">
        <f aca="false">E19*D19</f>
        <v>51.6066</v>
      </c>
      <c r="M19" s="40" t="n">
        <f aca="false">$D19*G19</f>
        <v>93.8301818181818</v>
      </c>
      <c r="N19" s="40" t="n">
        <f aca="false">$D19*H19</f>
        <v>90.5461254545455</v>
      </c>
      <c r="O19" s="40" t="n">
        <f aca="false">$D19*I19</f>
        <v>84.4471636363637</v>
      </c>
      <c r="P19" s="105" t="n">
        <f aca="false">$D19*J19</f>
        <v>80.6939563636364</v>
      </c>
    </row>
    <row r="20" customFormat="false" ht="13.8" hidden="false" customHeight="false" outlineLevel="0" collapsed="false">
      <c r="A20" s="109"/>
      <c r="B20" s="101" t="n">
        <v>9654</v>
      </c>
      <c r="C20" s="110" t="s">
        <v>118</v>
      </c>
      <c r="D20" s="102" t="n">
        <v>12</v>
      </c>
      <c r="E20" s="103" t="n">
        <f aca="false">VLOOKUP(B20,CMV!A:L,12,0)</f>
        <v>3.9761729</v>
      </c>
      <c r="F20" s="104" t="n">
        <v>0.45</v>
      </c>
      <c r="G20" s="103" t="n">
        <f aca="false">E20/(1-F20)</f>
        <v>7.22940527272727</v>
      </c>
      <c r="H20" s="103" t="n">
        <f aca="false">G20*0.965</f>
        <v>6.97637608818182</v>
      </c>
      <c r="I20" s="103" t="n">
        <f aca="false">G20*0.9</f>
        <v>6.50646474545455</v>
      </c>
      <c r="J20" s="103" t="n">
        <f aca="false">G20*0.86</f>
        <v>6.21728853454545</v>
      </c>
      <c r="L20" s="97" t="n">
        <f aca="false">E20*D20</f>
        <v>47.7140748</v>
      </c>
      <c r="M20" s="40" t="n">
        <f aca="false">$D20*G20</f>
        <v>86.7528632727273</v>
      </c>
      <c r="N20" s="40" t="n">
        <f aca="false">$D20*H20</f>
        <v>83.7165130581818</v>
      </c>
      <c r="O20" s="40" t="n">
        <f aca="false">$D20*I20</f>
        <v>78.0775769454545</v>
      </c>
      <c r="P20" s="105" t="n">
        <f aca="false">$D20*J20</f>
        <v>74.6074624145454</v>
      </c>
    </row>
    <row r="21" customFormat="false" ht="13.8" hidden="false" customHeight="false" outlineLevel="0" collapsed="false">
      <c r="A21" s="109" t="n">
        <v>2017</v>
      </c>
      <c r="B21" s="101" t="n">
        <f aca="false">VLOOKUP(A21,'[3]PRODUTOS ATIVOS'!$A$1:$AE$1048576,2,0)</f>
        <v>9655</v>
      </c>
      <c r="C21" s="110" t="s">
        <v>119</v>
      </c>
      <c r="D21" s="102" t="n">
        <v>12</v>
      </c>
      <c r="E21" s="103" t="n">
        <f aca="false">VLOOKUP(B21,CMV!A:L,12,0)</f>
        <v>4.550486</v>
      </c>
      <c r="F21" s="104" t="n">
        <v>0.45</v>
      </c>
      <c r="G21" s="103" t="n">
        <f aca="false">E21/(1-F21)</f>
        <v>8.27361090909091</v>
      </c>
      <c r="H21" s="103" t="n">
        <f aca="false">G21*0.965</f>
        <v>7.98403452727273</v>
      </c>
      <c r="I21" s="103" t="n">
        <f aca="false">G21*0.9</f>
        <v>7.44624981818182</v>
      </c>
      <c r="J21" s="103" t="n">
        <f aca="false">G21*0.86</f>
        <v>7.11530538181818</v>
      </c>
      <c r="L21" s="97" t="n">
        <f aca="false">E21*D21</f>
        <v>54.605832</v>
      </c>
      <c r="M21" s="40" t="n">
        <f aca="false">$D21*G21</f>
        <v>99.2833309090909</v>
      </c>
      <c r="N21" s="40" t="n">
        <f aca="false">$D21*H21</f>
        <v>95.8084143272727</v>
      </c>
      <c r="O21" s="40" t="n">
        <f aca="false">$D21*I21</f>
        <v>89.3549978181818</v>
      </c>
      <c r="P21" s="105" t="n">
        <f aca="false">$D21*J21</f>
        <v>85.3836645818182</v>
      </c>
      <c r="Q21" s="40" t="n">
        <f aca="false">M21*0.8</f>
        <v>79.4266647272727</v>
      </c>
    </row>
    <row r="22" customFormat="false" ht="13.5" hidden="false" customHeight="false" outlineLevel="0" collapsed="false">
      <c r="A22" s="99"/>
      <c r="C22" s="106"/>
      <c r="D22" s="107"/>
      <c r="E22" s="103"/>
      <c r="F22" s="103"/>
      <c r="G22" s="108"/>
      <c r="H22" s="103"/>
      <c r="I22" s="108"/>
      <c r="J22" s="108"/>
      <c r="L22" s="97"/>
      <c r="P22" s="98"/>
    </row>
    <row r="23" customFormat="false" ht="13.8" hidden="false" customHeight="false" outlineLevel="0" collapsed="false">
      <c r="A23" s="109" t="n">
        <v>2006</v>
      </c>
      <c r="B23" s="101" t="n">
        <f aca="false">VLOOKUP(A23,'[3]PRODUTOS ATIVOS'!$A$1:$AE$1048576,2,0)</f>
        <v>9663</v>
      </c>
      <c r="C23" s="110" t="s">
        <v>126</v>
      </c>
      <c r="D23" s="102" t="n">
        <v>30</v>
      </c>
      <c r="E23" s="103" t="n">
        <f aca="false">VLOOKUP(B23,CMV!A:L,12,0)</f>
        <v>0.968684066666667</v>
      </c>
      <c r="F23" s="104" t="n">
        <v>0.45</v>
      </c>
      <c r="G23" s="103" t="n">
        <f aca="false">E23/(1-F23)</f>
        <v>1.76124375757576</v>
      </c>
      <c r="H23" s="103" t="n">
        <f aca="false">G23*0.965</f>
        <v>1.69960022606061</v>
      </c>
      <c r="I23" s="103" t="n">
        <f aca="false">G23*0.9</f>
        <v>1.58511938181818</v>
      </c>
      <c r="J23" s="103" t="n">
        <f aca="false">G23*0.86</f>
        <v>1.51466963151515</v>
      </c>
      <c r="L23" s="97" t="n">
        <f aca="false">E23*D23</f>
        <v>29.060522</v>
      </c>
      <c r="M23" s="40" t="n">
        <f aca="false">$D23*G23</f>
        <v>52.8373127272727</v>
      </c>
      <c r="N23" s="40" t="n">
        <f aca="false">$D23*H23</f>
        <v>50.9880067818182</v>
      </c>
      <c r="O23" s="40" t="n">
        <f aca="false">$D23*I23</f>
        <v>47.5535814545455</v>
      </c>
      <c r="P23" s="105" t="n">
        <f aca="false">$D23*J23</f>
        <v>45.4400889454546</v>
      </c>
    </row>
    <row r="24" customFormat="false" ht="13.8" hidden="false" customHeight="false" outlineLevel="0" collapsed="false">
      <c r="A24" s="109" t="n">
        <v>2025</v>
      </c>
      <c r="B24" s="101" t="n">
        <f aca="false">VLOOKUP(A24,'[3]PRODUTOS ATIVOS'!$A$1:$AE$1048576,2,0)</f>
        <v>9664</v>
      </c>
      <c r="C24" s="110" t="s">
        <v>127</v>
      </c>
      <c r="D24" s="102" t="n">
        <v>30</v>
      </c>
      <c r="E24" s="103" t="n">
        <f aca="false">VLOOKUP(B24,CMV!A:L,12,0)</f>
        <v>1.40948406666667</v>
      </c>
      <c r="F24" s="104" t="n">
        <v>0.45</v>
      </c>
      <c r="G24" s="103" t="n">
        <f aca="false">E24/(1-F24)</f>
        <v>2.5626983030303</v>
      </c>
      <c r="H24" s="103" t="n">
        <f aca="false">G24*0.965</f>
        <v>2.47300386242424</v>
      </c>
      <c r="I24" s="103" t="n">
        <f aca="false">G24*0.9</f>
        <v>2.30642847272727</v>
      </c>
      <c r="J24" s="103" t="n">
        <f aca="false">G24*0.86</f>
        <v>2.20392054060606</v>
      </c>
      <c r="L24" s="97" t="n">
        <f aca="false">E24*D24</f>
        <v>42.284522</v>
      </c>
      <c r="M24" s="40" t="n">
        <f aca="false">$D24*G24</f>
        <v>76.8809490909091</v>
      </c>
      <c r="N24" s="40" t="n">
        <f aca="false">$D24*H24</f>
        <v>74.1901158727273</v>
      </c>
      <c r="O24" s="40" t="n">
        <f aca="false">$D24*I24</f>
        <v>69.1928541818182</v>
      </c>
      <c r="P24" s="105" t="n">
        <f aca="false">$D24*J24</f>
        <v>66.1176162181818</v>
      </c>
    </row>
    <row r="25" customFormat="false" ht="13.8" hidden="false" customHeight="false" outlineLevel="0" collapsed="false">
      <c r="A25" s="109" t="n">
        <v>2026</v>
      </c>
      <c r="B25" s="101" t="n">
        <f aca="false">VLOOKUP(A25,'[3]PRODUTOS ATIVOS'!$A$1:$AE$1048576,2,0)</f>
        <v>9665</v>
      </c>
      <c r="C25" s="110" t="s">
        <v>128</v>
      </c>
      <c r="D25" s="102" t="n">
        <v>30</v>
      </c>
      <c r="E25" s="103" t="n">
        <f aca="false">VLOOKUP(B25,CMV!A:L,12,0)</f>
        <v>1.40948406666667</v>
      </c>
      <c r="F25" s="104" t="n">
        <v>0.45</v>
      </c>
      <c r="G25" s="103" t="n">
        <f aca="false">E25/(1-F25)</f>
        <v>2.5626983030303</v>
      </c>
      <c r="H25" s="103" t="n">
        <f aca="false">G25*0.965</f>
        <v>2.47300386242424</v>
      </c>
      <c r="I25" s="103" t="n">
        <f aca="false">G25*0.9</f>
        <v>2.30642847272727</v>
      </c>
      <c r="J25" s="103" t="n">
        <f aca="false">G25*0.86</f>
        <v>2.20392054060606</v>
      </c>
      <c r="L25" s="97" t="n">
        <f aca="false">E25*D25</f>
        <v>42.284522</v>
      </c>
      <c r="M25" s="40" t="n">
        <f aca="false">$D25*G25</f>
        <v>76.8809490909091</v>
      </c>
      <c r="N25" s="40" t="n">
        <f aca="false">$D25*H25</f>
        <v>74.1901158727273</v>
      </c>
      <c r="O25" s="40" t="n">
        <f aca="false">$D25*I25</f>
        <v>69.1928541818182</v>
      </c>
      <c r="P25" s="105" t="n">
        <f aca="false">$D25*J25</f>
        <v>66.1176162181818</v>
      </c>
    </row>
    <row r="26" customFormat="false" ht="13.8" hidden="false" customHeight="false" outlineLevel="0" collapsed="false">
      <c r="A26" s="100" t="n">
        <v>2007</v>
      </c>
      <c r="B26" s="101" t="n">
        <f aca="false">VLOOKUP(A26,'[3]PRODUTOS ATIVOS'!$A$1:$AE$1048576,2,0)</f>
        <v>9360</v>
      </c>
      <c r="C26" s="102" t="s">
        <v>132</v>
      </c>
      <c r="D26" s="102" t="n">
        <v>18</v>
      </c>
      <c r="E26" s="103" t="n">
        <f aca="false">VLOOKUP(B26,CMV!A:L,12,0)</f>
        <v>2.03097777777778</v>
      </c>
      <c r="F26" s="104" t="n">
        <v>0.45</v>
      </c>
      <c r="G26" s="103" t="n">
        <f aca="false">E26/(1-F26)</f>
        <v>3.69268686868687</v>
      </c>
      <c r="H26" s="103" t="n">
        <f aca="false">G26*0.965</f>
        <v>3.56344282828283</v>
      </c>
      <c r="I26" s="103" t="n">
        <f aca="false">G26*0.9</f>
        <v>3.32341818181818</v>
      </c>
      <c r="J26" s="103" t="n">
        <f aca="false">G26*0.86</f>
        <v>3.17571070707071</v>
      </c>
      <c r="L26" s="97" t="n">
        <f aca="false">E26*D26</f>
        <v>36.5576</v>
      </c>
      <c r="M26" s="40" t="n">
        <f aca="false">$D26*G26</f>
        <v>66.4683636363636</v>
      </c>
      <c r="N26" s="40" t="n">
        <f aca="false">$D26*H26</f>
        <v>64.1419709090909</v>
      </c>
      <c r="O26" s="40" t="n">
        <f aca="false">$D26*I26</f>
        <v>59.8215272727273</v>
      </c>
      <c r="P26" s="105" t="n">
        <f aca="false">$D26*J26</f>
        <v>57.1627927272727</v>
      </c>
    </row>
    <row r="27" customFormat="false" ht="13.8" hidden="false" customHeight="false" outlineLevel="0" collapsed="false">
      <c r="A27" s="100" t="n">
        <v>2008</v>
      </c>
      <c r="B27" s="101" t="n">
        <f aca="false">VLOOKUP(A27,'[3]PRODUTOS ATIVOS'!$A$1:$AE$1048576,2,0)</f>
        <v>9361</v>
      </c>
      <c r="C27" s="102" t="s">
        <v>133</v>
      </c>
      <c r="D27" s="102" t="n">
        <v>18</v>
      </c>
      <c r="E27" s="103" t="n">
        <f aca="false">VLOOKUP(B27,CMV!A:L,12,0)</f>
        <v>2.03097777777778</v>
      </c>
      <c r="F27" s="104" t="n">
        <v>0.45</v>
      </c>
      <c r="G27" s="103" t="n">
        <f aca="false">E27/(1-F27)</f>
        <v>3.69268686868687</v>
      </c>
      <c r="H27" s="103" t="n">
        <f aca="false">G27*0.965</f>
        <v>3.56344282828283</v>
      </c>
      <c r="I27" s="103" t="n">
        <f aca="false">G27*0.9</f>
        <v>3.32341818181818</v>
      </c>
      <c r="J27" s="103" t="n">
        <f aca="false">G27*0.86</f>
        <v>3.17571070707071</v>
      </c>
      <c r="L27" s="97" t="n">
        <f aca="false">E27*D27</f>
        <v>36.5576</v>
      </c>
      <c r="M27" s="40" t="n">
        <f aca="false">$D27*G27</f>
        <v>66.4683636363636</v>
      </c>
      <c r="N27" s="40" t="n">
        <f aca="false">$D27*H27</f>
        <v>64.1419709090909</v>
      </c>
      <c r="O27" s="40" t="n">
        <f aca="false">$D27*I27</f>
        <v>59.8215272727273</v>
      </c>
      <c r="P27" s="105" t="n">
        <f aca="false">$D27*J27</f>
        <v>57.1627927272727</v>
      </c>
    </row>
    <row r="28" customFormat="false" ht="13.8" hidden="false" customHeight="false" outlineLevel="0" collapsed="false">
      <c r="A28" s="100" t="n">
        <v>2010</v>
      </c>
      <c r="B28" s="101" t="n">
        <f aca="false">VLOOKUP(A28,'[3]PRODUTOS ATIVOS'!$A$1:$AE$1048576,2,0)</f>
        <v>9630</v>
      </c>
      <c r="C28" s="102" t="s">
        <v>134</v>
      </c>
      <c r="D28" s="102" t="n">
        <v>18</v>
      </c>
      <c r="E28" s="103" t="n">
        <f aca="false">VLOOKUP(B28,CMV!A:L,12,0)</f>
        <v>2.10830097777778</v>
      </c>
      <c r="F28" s="104" t="n">
        <v>0.45</v>
      </c>
      <c r="G28" s="103" t="n">
        <f aca="false">E28/(1-F28)</f>
        <v>3.8332745050505</v>
      </c>
      <c r="H28" s="103" t="n">
        <f aca="false">G28*0.965</f>
        <v>3.69910989737374</v>
      </c>
      <c r="I28" s="103" t="n">
        <f aca="false">G28*0.9</f>
        <v>3.44994705454545</v>
      </c>
      <c r="J28" s="103" t="n">
        <f aca="false">G28*0.86</f>
        <v>3.29661607434343</v>
      </c>
      <c r="L28" s="97" t="n">
        <f aca="false">E28*D28</f>
        <v>37.9494176</v>
      </c>
      <c r="M28" s="40" t="n">
        <f aca="false">$D28*G28</f>
        <v>68.9989410909091</v>
      </c>
      <c r="N28" s="40" t="n">
        <f aca="false">$D28*H28</f>
        <v>66.5839781527273</v>
      </c>
      <c r="O28" s="40" t="n">
        <f aca="false">$D28*I28</f>
        <v>62.0990469818182</v>
      </c>
      <c r="P28" s="105" t="n">
        <f aca="false">$D28*J28</f>
        <v>59.3390893381818</v>
      </c>
    </row>
    <row r="29" customFormat="false" ht="13.5" hidden="false" customHeight="false" outlineLevel="0" collapsed="false">
      <c r="A29" s="99"/>
      <c r="C29" s="106"/>
      <c r="D29" s="107"/>
      <c r="E29" s="103"/>
      <c r="F29" s="103"/>
      <c r="G29" s="108"/>
      <c r="H29" s="103"/>
      <c r="I29" s="108"/>
      <c r="J29" s="108"/>
      <c r="L29" s="97"/>
      <c r="P29" s="98"/>
    </row>
    <row r="30" customFormat="false" ht="13.8" hidden="false" customHeight="false" outlineLevel="0" collapsed="false">
      <c r="A30" s="100" t="n">
        <v>2011</v>
      </c>
      <c r="B30" s="101" t="n">
        <f aca="false">VLOOKUP(A30,'[3]PRODUTOS ATIVOS'!$A$1:$AE$1048576,2,0)</f>
        <v>9565</v>
      </c>
      <c r="C30" s="102" t="s">
        <v>135</v>
      </c>
      <c r="D30" s="102" t="n">
        <v>36</v>
      </c>
      <c r="E30" s="103" t="n">
        <f aca="false">VLOOKUP(B30,CMV!A:L,12,0)</f>
        <v>0.752412088888889</v>
      </c>
      <c r="F30" s="104" t="n">
        <v>0.45</v>
      </c>
      <c r="G30" s="103" t="n">
        <f aca="false">E30/(1-F30)</f>
        <v>1.36802197979798</v>
      </c>
      <c r="H30" s="103" t="n">
        <f aca="false">G30*0.965</f>
        <v>1.32014121050505</v>
      </c>
      <c r="I30" s="103" t="n">
        <f aca="false">G30*0.9</f>
        <v>1.23121978181818</v>
      </c>
      <c r="J30" s="103" t="n">
        <f aca="false">G30*0.86</f>
        <v>1.17649890262626</v>
      </c>
      <c r="L30" s="97" t="n">
        <f aca="false">E30*D30</f>
        <v>27.0868352</v>
      </c>
      <c r="M30" s="40" t="n">
        <f aca="false">$D30*G30</f>
        <v>49.2487912727273</v>
      </c>
      <c r="N30" s="40" t="n">
        <f aca="false">$D30*H30</f>
        <v>47.5250835781818</v>
      </c>
      <c r="O30" s="40" t="n">
        <f aca="false">$D30*I30</f>
        <v>44.3239121454545</v>
      </c>
      <c r="P30" s="105" t="n">
        <f aca="false">$D30*J30</f>
        <v>42.3539604945455</v>
      </c>
    </row>
    <row r="31" customFormat="false" ht="13.5" hidden="false" customHeight="false" outlineLevel="0" collapsed="false">
      <c r="A31" s="99"/>
      <c r="C31" s="106"/>
      <c r="D31" s="107"/>
      <c r="E31" s="103"/>
      <c r="F31" s="103"/>
      <c r="G31" s="108"/>
      <c r="H31" s="103"/>
      <c r="I31" s="108"/>
      <c r="J31" s="108"/>
      <c r="L31" s="97"/>
      <c r="P31" s="98"/>
    </row>
    <row r="32" customFormat="false" ht="13.8" hidden="false" customHeight="false" outlineLevel="0" collapsed="false">
      <c r="A32" s="100" t="n">
        <v>3001</v>
      </c>
      <c r="B32" s="101" t="n">
        <f aca="false">VLOOKUP(A32,'[3]PRODUTOS ATIVOS'!$A$1:$AE$1048576,2,0)</f>
        <v>9673</v>
      </c>
      <c r="C32" s="102" t="s">
        <v>129</v>
      </c>
      <c r="D32" s="102" t="n">
        <v>30</v>
      </c>
      <c r="E32" s="103" t="n">
        <f aca="false">VLOOKUP(B32,CMV!A:L,12,0)</f>
        <v>2.45408681666667</v>
      </c>
      <c r="F32" s="104" t="n">
        <v>0.45</v>
      </c>
      <c r="G32" s="103" t="n">
        <f aca="false">E32/(1-F32)</f>
        <v>4.46197603030303</v>
      </c>
      <c r="H32" s="103" t="n">
        <f aca="false">G32*0.965</f>
        <v>4.30580686924242</v>
      </c>
      <c r="I32" s="103" t="n">
        <f aca="false">G32*0.9</f>
        <v>4.01577842727273</v>
      </c>
      <c r="J32" s="103" t="n">
        <f aca="false">G32*0.86</f>
        <v>3.83729938606061</v>
      </c>
      <c r="L32" s="97" t="n">
        <f aca="false">E32*D32</f>
        <v>73.6226045</v>
      </c>
      <c r="M32" s="40" t="n">
        <f aca="false">$D32*G32</f>
        <v>133.859280909091</v>
      </c>
      <c r="N32" s="40" t="n">
        <f aca="false">$D32*H32</f>
        <v>129.174206077273</v>
      </c>
      <c r="O32" s="40" t="n">
        <f aca="false">$D32*I32</f>
        <v>120.473352818182</v>
      </c>
      <c r="P32" s="105" t="n">
        <f aca="false">$D32*J32</f>
        <v>115.118981581818</v>
      </c>
    </row>
    <row r="33" customFormat="false" ht="13.8" hidden="false" customHeight="false" outlineLevel="0" collapsed="false">
      <c r="A33" s="100" t="n">
        <v>3002</v>
      </c>
      <c r="B33" s="101" t="n">
        <v>10057</v>
      </c>
      <c r="C33" s="102" t="s">
        <v>130</v>
      </c>
      <c r="D33" s="102" t="n">
        <v>30</v>
      </c>
      <c r="E33" s="103" t="n">
        <f aca="false">VLOOKUP(B33,CMV!A:L,12,0)</f>
        <v>2.24808681666667</v>
      </c>
      <c r="F33" s="104" t="n">
        <v>0.45</v>
      </c>
      <c r="G33" s="103" t="n">
        <f aca="false">E33/(1-F33)</f>
        <v>4.08743057575758</v>
      </c>
      <c r="H33" s="103" t="n">
        <f aca="false">G33*0.965</f>
        <v>3.94437050560606</v>
      </c>
      <c r="I33" s="103" t="n">
        <f aca="false">G33*0.9</f>
        <v>3.67868751818182</v>
      </c>
      <c r="J33" s="103" t="n">
        <f aca="false">G33*0.86</f>
        <v>3.51519029515152</v>
      </c>
      <c r="L33" s="97" t="n">
        <f aca="false">E33*D33</f>
        <v>67.4426045</v>
      </c>
      <c r="M33" s="40" t="n">
        <f aca="false">$D33*G33</f>
        <v>122.622917272727</v>
      </c>
      <c r="N33" s="40" t="n">
        <f aca="false">$D33*H33</f>
        <v>118.331115168182</v>
      </c>
      <c r="O33" s="40" t="n">
        <f aca="false">$D33*I33</f>
        <v>110.360625545455</v>
      </c>
      <c r="P33" s="105" t="n">
        <f aca="false">$D33*J33</f>
        <v>105.455708854545</v>
      </c>
    </row>
    <row r="34" customFormat="false" ht="13.5" hidden="false" customHeight="false" outlineLevel="0" collapsed="false">
      <c r="A34" s="99"/>
      <c r="C34" s="106"/>
      <c r="D34" s="107"/>
      <c r="E34" s="103"/>
      <c r="F34" s="103"/>
      <c r="G34" s="108"/>
      <c r="H34" s="103"/>
      <c r="I34" s="108"/>
      <c r="J34" s="108"/>
      <c r="L34" s="97"/>
      <c r="P34" s="98"/>
    </row>
    <row r="35" customFormat="false" ht="13.8" hidden="false" customHeight="false" outlineLevel="0" collapsed="false">
      <c r="A35" s="109" t="n">
        <v>6001</v>
      </c>
      <c r="B35" s="101" t="n">
        <f aca="false">VLOOKUP(A35,'[3]PRODUTOS ATIVOS'!$A$1:$AE$1048576,2,0)</f>
        <v>9674</v>
      </c>
      <c r="C35" s="110" t="s">
        <v>137</v>
      </c>
      <c r="D35" s="102" t="n">
        <v>6</v>
      </c>
      <c r="E35" s="103" t="n">
        <f aca="false">VLOOKUP(B35,CMV!A:L,12,0)</f>
        <v>13.1580333333333</v>
      </c>
      <c r="F35" s="104" t="n">
        <v>0.45</v>
      </c>
      <c r="G35" s="103" t="n">
        <f aca="false">E35/(1-F35)</f>
        <v>23.923696969697</v>
      </c>
      <c r="H35" s="103" t="n">
        <f aca="false">G35*0.965</f>
        <v>23.0863675757576</v>
      </c>
      <c r="I35" s="103" t="n">
        <f aca="false">G35*0.9</f>
        <v>21.5313272727273</v>
      </c>
      <c r="J35" s="103" t="n">
        <f aca="false">G35*0.86</f>
        <v>20.5743793939394</v>
      </c>
      <c r="L35" s="97" t="n">
        <f aca="false">E35*D35</f>
        <v>78.9482</v>
      </c>
      <c r="M35" s="40" t="n">
        <f aca="false">$D35*G35</f>
        <v>143.542181818182</v>
      </c>
      <c r="N35" s="40" t="n">
        <f aca="false">$D35*H35</f>
        <v>138.518205454545</v>
      </c>
      <c r="O35" s="40" t="n">
        <f aca="false">$D35*I35</f>
        <v>129.187963636364</v>
      </c>
      <c r="P35" s="105" t="n">
        <f aca="false">$D35*J35</f>
        <v>123.446276363636</v>
      </c>
    </row>
    <row r="36" customFormat="false" ht="13.8" hidden="false" customHeight="false" outlineLevel="0" collapsed="false">
      <c r="A36" s="109" t="n">
        <v>6002</v>
      </c>
      <c r="B36" s="101" t="n">
        <f aca="false">VLOOKUP(A36,'[3]PRODUTOS ATIVOS'!$A$1:$AE$1048576,2,0)</f>
        <v>9675</v>
      </c>
      <c r="C36" s="110" t="s">
        <v>138</v>
      </c>
      <c r="D36" s="102" t="n">
        <v>6</v>
      </c>
      <c r="E36" s="103" t="n">
        <f aca="false">VLOOKUP(B36,CMV!A:L,12,0)</f>
        <v>13.1580333333333</v>
      </c>
      <c r="F36" s="104" t="n">
        <v>0.45</v>
      </c>
      <c r="G36" s="103" t="n">
        <f aca="false">E36/(1-F36)</f>
        <v>23.923696969697</v>
      </c>
      <c r="H36" s="103" t="n">
        <f aca="false">G36*0.965</f>
        <v>23.0863675757576</v>
      </c>
      <c r="I36" s="103" t="n">
        <f aca="false">G36*0.9</f>
        <v>21.5313272727273</v>
      </c>
      <c r="J36" s="103" t="n">
        <f aca="false">G36*0.86</f>
        <v>20.5743793939394</v>
      </c>
      <c r="L36" s="97" t="n">
        <f aca="false">E36*D36</f>
        <v>78.9482</v>
      </c>
      <c r="M36" s="40" t="n">
        <f aca="false">$D36*G36</f>
        <v>143.542181818182</v>
      </c>
      <c r="N36" s="40" t="n">
        <f aca="false">$D36*H36</f>
        <v>138.518205454545</v>
      </c>
      <c r="O36" s="40" t="n">
        <f aca="false">$D36*I36</f>
        <v>129.187963636364</v>
      </c>
      <c r="P36" s="105" t="n">
        <f aca="false">$D36*J36</f>
        <v>123.446276363636</v>
      </c>
    </row>
    <row r="37" customFormat="false" ht="13.8" hidden="false" customHeight="false" outlineLevel="0" collapsed="false">
      <c r="A37" s="109" t="n">
        <v>6005</v>
      </c>
      <c r="B37" s="101" t="n">
        <f aca="false">VLOOKUP(A37,'[3]PRODUTOS ATIVOS'!$A$1:$AE$1048576,2,0)</f>
        <v>9677</v>
      </c>
      <c r="C37" s="110" t="s">
        <v>139</v>
      </c>
      <c r="D37" s="102" t="n">
        <v>6</v>
      </c>
      <c r="E37" s="103" t="n">
        <f aca="false">VLOOKUP(B37,CMV!A:L,12,0)</f>
        <v>13.4711333333333</v>
      </c>
      <c r="F37" s="104" t="n">
        <v>0.45</v>
      </c>
      <c r="G37" s="103" t="n">
        <f aca="false">E37/(1-F37)</f>
        <v>24.4929696969697</v>
      </c>
      <c r="H37" s="103" t="n">
        <f aca="false">G37*0.965</f>
        <v>23.6357157575758</v>
      </c>
      <c r="I37" s="103" t="n">
        <f aca="false">G37*0.9</f>
        <v>22.0436727272727</v>
      </c>
      <c r="J37" s="103" t="n">
        <f aca="false">G37*0.86</f>
        <v>21.0639539393939</v>
      </c>
      <c r="L37" s="97" t="n">
        <f aca="false">E37*D37</f>
        <v>80.8268</v>
      </c>
      <c r="M37" s="40" t="n">
        <f aca="false">$D37*G37</f>
        <v>146.957818181818</v>
      </c>
      <c r="N37" s="40" t="n">
        <f aca="false">$D37*H37</f>
        <v>141.814294545455</v>
      </c>
      <c r="O37" s="40" t="n">
        <f aca="false">$D37*I37</f>
        <v>132.262036363636</v>
      </c>
      <c r="P37" s="105" t="n">
        <f aca="false">$D37*J37</f>
        <v>126.383723636364</v>
      </c>
    </row>
    <row r="38" customFormat="false" ht="13.8" hidden="false" customHeight="false" outlineLevel="0" collapsed="false">
      <c r="A38" s="109" t="n">
        <v>6006</v>
      </c>
      <c r="B38" s="101" t="n">
        <f aca="false">VLOOKUP(A38,'[3]PRODUTOS ATIVOS'!$A$1:$AE$1048576,2,0)</f>
        <v>9678</v>
      </c>
      <c r="C38" s="110" t="s">
        <v>140</v>
      </c>
      <c r="D38" s="102" t="n">
        <v>6</v>
      </c>
      <c r="E38" s="103" t="n">
        <f aca="false">VLOOKUP(B38,CMV!A:L,12,0)</f>
        <v>11.6026333333333</v>
      </c>
      <c r="F38" s="104" t="n">
        <v>0.45</v>
      </c>
      <c r="G38" s="103" t="n">
        <f aca="false">E38/(1-F38)</f>
        <v>21.095696969697</v>
      </c>
      <c r="H38" s="103" t="n">
        <f aca="false">G38*0.965</f>
        <v>20.3573475757576</v>
      </c>
      <c r="I38" s="103" t="n">
        <f aca="false">G38*0.9</f>
        <v>18.9861272727273</v>
      </c>
      <c r="J38" s="103" t="n">
        <f aca="false">G38*0.86</f>
        <v>18.1422993939394</v>
      </c>
      <c r="L38" s="97" t="n">
        <f aca="false">E38*D38</f>
        <v>69.6158</v>
      </c>
      <c r="M38" s="40" t="n">
        <f aca="false">$D38*G38</f>
        <v>126.574181818182</v>
      </c>
      <c r="N38" s="40" t="n">
        <f aca="false">$D38*H38</f>
        <v>122.144085454545</v>
      </c>
      <c r="O38" s="40" t="n">
        <f aca="false">$D38*I38</f>
        <v>113.916763636364</v>
      </c>
      <c r="P38" s="105" t="n">
        <f aca="false">$D38*J38</f>
        <v>108.853796363636</v>
      </c>
    </row>
    <row r="39" customFormat="false" ht="13.8" hidden="false" customHeight="false" outlineLevel="0" collapsed="false">
      <c r="A39" s="109" t="n">
        <v>6007</v>
      </c>
      <c r="B39" s="101" t="n">
        <f aca="false">VLOOKUP(A39,'[3]PRODUTOS ATIVOS'!$A$1:$AE$1048576,2,0)</f>
        <v>9679</v>
      </c>
      <c r="C39" s="110" t="s">
        <v>141</v>
      </c>
      <c r="D39" s="102" t="n">
        <v>6</v>
      </c>
      <c r="E39" s="103" t="n">
        <f aca="false">VLOOKUP(B39,CMV!A:L,12,0)</f>
        <v>7.59293333333333</v>
      </c>
      <c r="F39" s="104" t="n">
        <v>0.45</v>
      </c>
      <c r="G39" s="103" t="n">
        <f aca="false">E39/(1-F39)</f>
        <v>13.8053333333333</v>
      </c>
      <c r="H39" s="103" t="n">
        <f aca="false">G39*0.965</f>
        <v>13.3221466666667</v>
      </c>
      <c r="I39" s="103" t="n">
        <f aca="false">G39*0.9</f>
        <v>12.4248</v>
      </c>
      <c r="J39" s="103" t="n">
        <f aca="false">G39*0.86</f>
        <v>11.8725866666667</v>
      </c>
      <c r="L39" s="97" t="n">
        <f aca="false">E39*D39</f>
        <v>45.5576</v>
      </c>
      <c r="M39" s="40" t="n">
        <f aca="false">$D39*G39</f>
        <v>82.832</v>
      </c>
      <c r="N39" s="40" t="n">
        <f aca="false">$D39*H39</f>
        <v>79.93288</v>
      </c>
      <c r="O39" s="40" t="n">
        <f aca="false">$D39*I39</f>
        <v>74.5488</v>
      </c>
      <c r="P39" s="105" t="n">
        <f aca="false">$D39*J39</f>
        <v>71.23552</v>
      </c>
    </row>
    <row r="40" customFormat="false" ht="13.8" hidden="false" customHeight="false" outlineLevel="0" collapsed="false">
      <c r="A40" s="109" t="n">
        <v>6014</v>
      </c>
      <c r="B40" s="101" t="n">
        <f aca="false">VLOOKUP(A40,'[3]PRODUTOS ATIVOS'!$A$1:$AE$1048576,2,0)</f>
        <v>9680</v>
      </c>
      <c r="C40" s="110" t="s">
        <v>142</v>
      </c>
      <c r="D40" s="102" t="n">
        <v>6</v>
      </c>
      <c r="E40" s="103" t="n">
        <f aca="false">VLOOKUP(B40,CMV!A:L,12,0)</f>
        <v>21.5447888833333</v>
      </c>
      <c r="F40" s="104" t="n">
        <v>0.45</v>
      </c>
      <c r="G40" s="103" t="n">
        <f aca="false">E40/(1-F40)</f>
        <v>39.1723434242424</v>
      </c>
      <c r="H40" s="103" t="n">
        <f aca="false">G40*0.965</f>
        <v>37.8013114043939</v>
      </c>
      <c r="I40" s="103" t="n">
        <f aca="false">G40*0.9</f>
        <v>35.2551090818182</v>
      </c>
      <c r="J40" s="103" t="n">
        <f aca="false">G40*0.86</f>
        <v>33.6882153448485</v>
      </c>
      <c r="L40" s="97" t="n">
        <f aca="false">E40*D40</f>
        <v>129.2687333</v>
      </c>
      <c r="M40" s="40" t="n">
        <f aca="false">$D40*G40</f>
        <v>235.034060545454</v>
      </c>
      <c r="N40" s="40" t="n">
        <f aca="false">$D40*H40</f>
        <v>226.807868426364</v>
      </c>
      <c r="O40" s="40" t="n">
        <f aca="false">$D40*I40</f>
        <v>211.530654490909</v>
      </c>
      <c r="P40" s="105" t="n">
        <f aca="false">$D40*J40</f>
        <v>202.129292069091</v>
      </c>
    </row>
    <row r="41" customFormat="false" ht="13.8" hidden="false" customHeight="false" outlineLevel="0" collapsed="false">
      <c r="A41" s="109" t="n">
        <v>6015</v>
      </c>
      <c r="B41" s="101" t="n">
        <f aca="false">VLOOKUP(A41,'[3]PRODUTOS ATIVOS'!$A$1:$AE$1048576,2,0)</f>
        <v>9681</v>
      </c>
      <c r="C41" s="110" t="s">
        <v>143</v>
      </c>
      <c r="D41" s="102" t="n">
        <v>6</v>
      </c>
      <c r="E41" s="103" t="n">
        <f aca="false">VLOOKUP(B41,CMV!A:L,12,0)</f>
        <v>19.4641888833333</v>
      </c>
      <c r="F41" s="104" t="n">
        <v>0.45</v>
      </c>
      <c r="G41" s="103" t="n">
        <f aca="false">E41/(1-F41)</f>
        <v>35.3894343333333</v>
      </c>
      <c r="H41" s="103" t="n">
        <f aca="false">G41*0.965</f>
        <v>34.1508041316667</v>
      </c>
      <c r="I41" s="103" t="n">
        <f aca="false">G41*0.9</f>
        <v>31.8504909</v>
      </c>
      <c r="J41" s="103" t="n">
        <f aca="false">G41*0.86</f>
        <v>30.4349135266667</v>
      </c>
      <c r="K41" s="40"/>
      <c r="L41" s="97" t="n">
        <f aca="false">E41*D41</f>
        <v>116.7851333</v>
      </c>
      <c r="M41" s="40" t="n">
        <f aca="false">$D41*G41</f>
        <v>212.336606</v>
      </c>
      <c r="N41" s="40" t="n">
        <f aca="false">$D41*H41</f>
        <v>204.90482479</v>
      </c>
      <c r="O41" s="40" t="n">
        <f aca="false">$D41*I41</f>
        <v>191.1029454</v>
      </c>
      <c r="P41" s="105" t="n">
        <f aca="false">$D41*J41</f>
        <v>182.60948116</v>
      </c>
    </row>
    <row r="42" customFormat="false" ht="13.5" hidden="false" customHeight="false" outlineLevel="0" collapsed="false">
      <c r="A42" s="99"/>
      <c r="C42" s="106"/>
      <c r="D42" s="107"/>
      <c r="E42" s="103"/>
      <c r="F42" s="103"/>
      <c r="G42" s="108"/>
      <c r="H42" s="103"/>
      <c r="I42" s="108"/>
      <c r="J42" s="108"/>
      <c r="L42" s="97"/>
      <c r="P42" s="98"/>
    </row>
    <row r="43" customFormat="false" ht="15" hidden="false" customHeight="true" outlineLevel="0" collapsed="false">
      <c r="A43" s="109" t="n">
        <v>5001</v>
      </c>
      <c r="B43" s="101" t="n">
        <f aca="false">VLOOKUP(A43,'[3]PRODUTOS ATIVOS'!$A$1:$AE$1048576,2,0)</f>
        <v>9682</v>
      </c>
      <c r="C43" s="110" t="s">
        <v>149</v>
      </c>
      <c r="D43" s="102" t="n">
        <v>2</v>
      </c>
      <c r="E43" s="103" t="n">
        <f aca="false">VLOOKUP(B43,CMV!A:L,12,0)</f>
        <v>29.36581</v>
      </c>
      <c r="F43" s="104" t="n">
        <v>0.45</v>
      </c>
      <c r="G43" s="103" t="n">
        <f aca="false">E43/(1-F43)</f>
        <v>53.3923818181818</v>
      </c>
      <c r="H43" s="103" t="n">
        <f aca="false">G43*0.965</f>
        <v>51.5236484545454</v>
      </c>
      <c r="I43" s="103" t="n">
        <f aca="false">G43*0.9</f>
        <v>48.0531436363636</v>
      </c>
      <c r="J43" s="103" t="n">
        <f aca="false">G43*0.86</f>
        <v>45.9174483636364</v>
      </c>
      <c r="L43" s="97" t="n">
        <f aca="false">E43*$D43</f>
        <v>58.73162</v>
      </c>
      <c r="M43" s="40" t="n">
        <f aca="false">$D43*G43</f>
        <v>106.784763636364</v>
      </c>
      <c r="N43" s="40" t="n">
        <f aca="false">$D43*H43</f>
        <v>103.047296909091</v>
      </c>
      <c r="O43" s="40" t="n">
        <f aca="false">$D43*I43</f>
        <v>96.1062872727273</v>
      </c>
      <c r="P43" s="105" t="n">
        <f aca="false">$D43*J43</f>
        <v>91.8348967272727</v>
      </c>
    </row>
    <row r="44" customFormat="false" ht="15" hidden="false" customHeight="true" outlineLevel="0" collapsed="false">
      <c r="A44" s="109" t="n">
        <v>5002</v>
      </c>
      <c r="B44" s="101" t="n">
        <f aca="false">VLOOKUP(A44,'[3]PRODUTOS ATIVOS'!$A$1:$AE$1048576,2,0)</f>
        <v>9685</v>
      </c>
      <c r="C44" s="110" t="s">
        <v>150</v>
      </c>
      <c r="D44" s="102" t="n">
        <v>2</v>
      </c>
      <c r="E44" s="103" t="n">
        <f aca="false">VLOOKUP(B44,CMV!A:L,12,0)</f>
        <v>29.36581</v>
      </c>
      <c r="F44" s="104" t="n">
        <v>0.45</v>
      </c>
      <c r="G44" s="103" t="n">
        <f aca="false">E44/(1-F44)</f>
        <v>53.3923818181818</v>
      </c>
      <c r="H44" s="103" t="n">
        <f aca="false">G44*0.965</f>
        <v>51.5236484545454</v>
      </c>
      <c r="I44" s="103" t="n">
        <f aca="false">G44*0.9</f>
        <v>48.0531436363636</v>
      </c>
      <c r="J44" s="103" t="n">
        <f aca="false">G44*0.86</f>
        <v>45.9174483636364</v>
      </c>
      <c r="L44" s="97" t="n">
        <f aca="false">E44*$D44</f>
        <v>58.73162</v>
      </c>
      <c r="M44" s="40" t="n">
        <f aca="false">$D44*G44</f>
        <v>106.784763636364</v>
      </c>
      <c r="N44" s="40" t="n">
        <f aca="false">$D44*H44</f>
        <v>103.047296909091</v>
      </c>
      <c r="O44" s="40" t="n">
        <f aca="false">$D44*I44</f>
        <v>96.1062872727273</v>
      </c>
      <c r="P44" s="105" t="n">
        <f aca="false">$D44*J44</f>
        <v>91.8348967272727</v>
      </c>
    </row>
    <row r="45" customFormat="false" ht="15" hidden="false" customHeight="true" outlineLevel="0" collapsed="false">
      <c r="A45" s="109" t="n">
        <v>5004</v>
      </c>
      <c r="B45" s="101" t="n">
        <f aca="false">VLOOKUP(A45,'[3]PRODUTOS ATIVOS'!$A$1:$AE$1048576,2,0)</f>
        <v>9688</v>
      </c>
      <c r="C45" s="110" t="s">
        <v>151</v>
      </c>
      <c r="D45" s="102" t="n">
        <v>2</v>
      </c>
      <c r="E45" s="103" t="n">
        <f aca="false">VLOOKUP(B45,CMV!A:L,12,0)</f>
        <v>31.8956</v>
      </c>
      <c r="F45" s="104" t="n">
        <v>0.45</v>
      </c>
      <c r="G45" s="103" t="n">
        <f aca="false">E45/(1-F45)</f>
        <v>57.992</v>
      </c>
      <c r="H45" s="103" t="n">
        <f aca="false">G45*0.965</f>
        <v>55.96228</v>
      </c>
      <c r="I45" s="103" t="n">
        <f aca="false">G45*0.9</f>
        <v>52.1928</v>
      </c>
      <c r="J45" s="103" t="n">
        <f aca="false">G45*0.86</f>
        <v>49.87312</v>
      </c>
      <c r="L45" s="97" t="n">
        <f aca="false">E45*$D45</f>
        <v>63.7912</v>
      </c>
      <c r="M45" s="40" t="n">
        <f aca="false">$D45*G45</f>
        <v>115.984</v>
      </c>
      <c r="N45" s="40" t="n">
        <f aca="false">$D45*H45</f>
        <v>111.92456</v>
      </c>
      <c r="O45" s="40" t="n">
        <f aca="false">$D45*I45</f>
        <v>104.3856</v>
      </c>
      <c r="P45" s="105" t="n">
        <f aca="false">$D45*J45</f>
        <v>99.74624</v>
      </c>
    </row>
    <row r="46" customFormat="false" ht="15" hidden="false" customHeight="true" outlineLevel="0" collapsed="false">
      <c r="A46" s="109" t="n">
        <v>5005</v>
      </c>
      <c r="B46" s="101" t="n">
        <v>9733</v>
      </c>
      <c r="C46" s="110" t="s">
        <v>176</v>
      </c>
      <c r="D46" s="102" t="n">
        <v>2</v>
      </c>
      <c r="E46" s="103" t="n">
        <f aca="false">VLOOKUP(B46,CMV!A:L,12,0)</f>
        <v>29.98581</v>
      </c>
      <c r="F46" s="104" t="n">
        <v>0.45</v>
      </c>
      <c r="G46" s="103" t="n">
        <f aca="false">E46/(1-F46)</f>
        <v>54.5196545454545</v>
      </c>
      <c r="H46" s="103" t="n">
        <f aca="false">G46*0.965</f>
        <v>52.6114666363636</v>
      </c>
      <c r="I46" s="103" t="n">
        <f aca="false">G46*0.9</f>
        <v>49.0676890909091</v>
      </c>
      <c r="J46" s="103" t="n">
        <f aca="false">G46*0.86</f>
        <v>46.8869029090909</v>
      </c>
      <c r="L46" s="97" t="n">
        <f aca="false">E46*$D46</f>
        <v>59.97162</v>
      </c>
      <c r="M46" s="40" t="n">
        <f aca="false">$D46*G46</f>
        <v>109.039309090909</v>
      </c>
      <c r="N46" s="40" t="n">
        <f aca="false">$D46*H46</f>
        <v>105.222933272727</v>
      </c>
      <c r="O46" s="40" t="n">
        <f aca="false">$D46*I46</f>
        <v>98.1353781818182</v>
      </c>
      <c r="P46" s="105" t="n">
        <f aca="false">$D46*J46</f>
        <v>93.7738058181818</v>
      </c>
    </row>
    <row r="47" customFormat="false" ht="15" hidden="false" customHeight="true" outlineLevel="0" collapsed="false">
      <c r="A47" s="109" t="n">
        <v>5006</v>
      </c>
      <c r="B47" s="101" t="n">
        <f aca="false">VLOOKUP(A47,'[3]PRODUTOS ATIVOS'!$A$1:$AE$1048576,2,0)</f>
        <v>9690</v>
      </c>
      <c r="C47" s="110" t="s">
        <v>154</v>
      </c>
      <c r="D47" s="102" t="n">
        <v>2</v>
      </c>
      <c r="E47" s="103" t="n">
        <f aca="false">VLOOKUP(B47,CMV!A:L,12,0)</f>
        <v>26.28581</v>
      </c>
      <c r="F47" s="104" t="n">
        <v>0.45</v>
      </c>
      <c r="G47" s="103" t="n">
        <f aca="false">E47/(1-F47)</f>
        <v>47.7923818181818</v>
      </c>
      <c r="H47" s="103" t="n">
        <f aca="false">G47*0.965</f>
        <v>46.1196484545454</v>
      </c>
      <c r="I47" s="103" t="n">
        <f aca="false">G47*0.9</f>
        <v>43.0131436363636</v>
      </c>
      <c r="J47" s="103" t="n">
        <f aca="false">G47*0.86</f>
        <v>41.1014483636364</v>
      </c>
      <c r="L47" s="97" t="n">
        <f aca="false">E47*$D47</f>
        <v>52.57162</v>
      </c>
      <c r="M47" s="40" t="n">
        <f aca="false">$D47*G47</f>
        <v>95.5847636363636</v>
      </c>
      <c r="N47" s="40" t="n">
        <f aca="false">$D47*H47</f>
        <v>92.2392969090909</v>
      </c>
      <c r="O47" s="40" t="n">
        <f aca="false">$D47*I47</f>
        <v>86.0262872727273</v>
      </c>
      <c r="P47" s="105" t="n">
        <f aca="false">$D47*J47</f>
        <v>82.2028967272727</v>
      </c>
    </row>
    <row r="48" customFormat="false" ht="15" hidden="false" customHeight="true" outlineLevel="0" collapsed="false">
      <c r="A48" s="109" t="n">
        <v>5007</v>
      </c>
      <c r="B48" s="101" t="n">
        <f aca="false">VLOOKUP(A48,'[3]PRODUTOS ATIVOS'!$A$1:$AE$1048576,2,0)</f>
        <v>9564</v>
      </c>
      <c r="C48" s="110" t="s">
        <v>155</v>
      </c>
      <c r="D48" s="102" t="n">
        <v>2</v>
      </c>
      <c r="E48" s="103" t="n">
        <f aca="false">VLOOKUP(B48,CMV!A:L,12,0)</f>
        <v>18.34581</v>
      </c>
      <c r="F48" s="104" t="n">
        <v>0.45</v>
      </c>
      <c r="G48" s="103" t="n">
        <f aca="false">E48/(1-F48)</f>
        <v>33.3560181818182</v>
      </c>
      <c r="H48" s="103" t="n">
        <f aca="false">G48*0.965</f>
        <v>32.1885575454545</v>
      </c>
      <c r="I48" s="103" t="n">
        <f aca="false">G48*0.9</f>
        <v>30.0204163636364</v>
      </c>
      <c r="J48" s="103" t="n">
        <f aca="false">G48*0.86</f>
        <v>28.6861756363636</v>
      </c>
      <c r="L48" s="97" t="n">
        <f aca="false">E48*$D48</f>
        <v>36.69162</v>
      </c>
      <c r="M48" s="40" t="n">
        <f aca="false">$D48*G48</f>
        <v>66.7120363636364</v>
      </c>
      <c r="N48" s="40" t="n">
        <f aca="false">$D48*H48</f>
        <v>64.3771150909091</v>
      </c>
      <c r="O48" s="40" t="n">
        <f aca="false">$D48*I48</f>
        <v>60.0408327272727</v>
      </c>
      <c r="P48" s="105" t="n">
        <f aca="false">$D48*J48</f>
        <v>57.3723512727273</v>
      </c>
    </row>
    <row r="49" customFormat="false" ht="15" hidden="false" customHeight="true" outlineLevel="0" collapsed="false">
      <c r="A49" s="109" t="n">
        <v>5007</v>
      </c>
      <c r="B49" s="111" t="n">
        <v>9683</v>
      </c>
      <c r="C49" s="110" t="s">
        <v>152</v>
      </c>
      <c r="D49" s="102" t="n">
        <v>2</v>
      </c>
      <c r="E49" s="103" t="n">
        <f aca="false">VLOOKUP(B49,CMV!A:L,12,0)</f>
        <v>40.2956</v>
      </c>
      <c r="F49" s="104" t="n">
        <v>0.45</v>
      </c>
      <c r="G49" s="103" t="n">
        <f aca="false">E49/(1-F49)</f>
        <v>73.2647272727273</v>
      </c>
      <c r="H49" s="103" t="n">
        <f aca="false">G49*0.965</f>
        <v>70.7004618181818</v>
      </c>
      <c r="I49" s="103" t="n">
        <f aca="false">G49*0.9</f>
        <v>65.9382545454545</v>
      </c>
      <c r="J49" s="103" t="n">
        <f aca="false">G49*0.86</f>
        <v>63.0076654545455</v>
      </c>
      <c r="L49" s="97" t="n">
        <f aca="false">E49*$D49</f>
        <v>80.5912</v>
      </c>
      <c r="M49" s="40" t="n">
        <f aca="false">$D49*G49</f>
        <v>146.529454545455</v>
      </c>
      <c r="N49" s="40" t="n">
        <f aca="false">$D49*H49</f>
        <v>141.400923636364</v>
      </c>
      <c r="O49" s="40" t="n">
        <f aca="false">$D49*I49</f>
        <v>131.876509090909</v>
      </c>
      <c r="P49" s="105" t="n">
        <f aca="false">$D49*J49</f>
        <v>126.015330909091</v>
      </c>
    </row>
    <row r="50" customFormat="false" ht="15" hidden="false" customHeight="true" outlineLevel="0" collapsed="false">
      <c r="A50" s="109" t="n">
        <v>5007</v>
      </c>
      <c r="B50" s="111" t="n">
        <v>9686</v>
      </c>
      <c r="C50" s="110" t="s">
        <v>153</v>
      </c>
      <c r="D50" s="102" t="n">
        <v>2</v>
      </c>
      <c r="E50" s="103" t="n">
        <f aca="false">VLOOKUP(B50,CMV!A:L,12,0)</f>
        <v>40.2956</v>
      </c>
      <c r="F50" s="104" t="n">
        <v>0.45</v>
      </c>
      <c r="G50" s="103" t="n">
        <f aca="false">E50/(1-F50)</f>
        <v>73.2647272727273</v>
      </c>
      <c r="H50" s="103" t="n">
        <f aca="false">G50*0.965</f>
        <v>70.7004618181818</v>
      </c>
      <c r="I50" s="103" t="n">
        <f aca="false">G50*0.9</f>
        <v>65.9382545454545</v>
      </c>
      <c r="J50" s="103" t="n">
        <f aca="false">G50*0.86</f>
        <v>63.0076654545455</v>
      </c>
      <c r="L50" s="97" t="n">
        <f aca="false">E50*$D50</f>
        <v>80.5912</v>
      </c>
      <c r="M50" s="40" t="n">
        <f aca="false">$D50*G50</f>
        <v>146.529454545455</v>
      </c>
      <c r="N50" s="40" t="n">
        <f aca="false">$D50*H50</f>
        <v>141.400923636364</v>
      </c>
      <c r="O50" s="40" t="n">
        <f aca="false">$D50*I50</f>
        <v>131.876509090909</v>
      </c>
      <c r="P50" s="105" t="n">
        <f aca="false">$D50*J50</f>
        <v>126.015330909091</v>
      </c>
    </row>
    <row r="51" customFormat="false" ht="13.8" hidden="false" customHeight="false" outlineLevel="0" collapsed="false">
      <c r="A51" s="109" t="n">
        <v>5012</v>
      </c>
      <c r="B51" s="101" t="n">
        <f aca="false">VLOOKUP(A51,'[3]PRODUTOS ATIVOS'!$A$1:$AE$1048576,2,0)</f>
        <v>9734</v>
      </c>
      <c r="C51" s="110" t="s">
        <v>157</v>
      </c>
      <c r="D51" s="102" t="n">
        <v>2</v>
      </c>
      <c r="E51" s="103" t="n">
        <f aca="false">VLOOKUP(B51,CMV!A:L,12,0)</f>
        <v>45.633145</v>
      </c>
      <c r="F51" s="104" t="n">
        <v>0.45</v>
      </c>
      <c r="G51" s="103" t="n">
        <f aca="false">E51/(1-F51)</f>
        <v>82.9693545454545</v>
      </c>
      <c r="H51" s="103" t="n">
        <f aca="false">G51*0.965</f>
        <v>80.0654271363636</v>
      </c>
      <c r="I51" s="103" t="n">
        <f aca="false">G51*0.9</f>
        <v>74.6724190909091</v>
      </c>
      <c r="J51" s="103" t="n">
        <f aca="false">G51*0.86</f>
        <v>71.3536449090909</v>
      </c>
      <c r="K51" s="40"/>
      <c r="L51" s="97" t="n">
        <f aca="false">E51*$D51</f>
        <v>91.26629</v>
      </c>
      <c r="M51" s="40" t="n">
        <f aca="false">$D51*G51</f>
        <v>165.938709090909</v>
      </c>
      <c r="N51" s="40" t="n">
        <f aca="false">$D51*H51</f>
        <v>160.130854272727</v>
      </c>
      <c r="O51" s="40" t="n">
        <f aca="false">$D51*I51</f>
        <v>149.344838181818</v>
      </c>
      <c r="P51" s="105" t="n">
        <f aca="false">$D51*J51</f>
        <v>142.707289818182</v>
      </c>
    </row>
    <row r="52" customFormat="false" ht="13.8" hidden="false" customHeight="false" outlineLevel="0" collapsed="false">
      <c r="A52" s="112" t="n">
        <v>5013</v>
      </c>
      <c r="B52" s="113" t="n">
        <f aca="false">VLOOKUP(A52,'[3]PRODUTOS ATIVOS'!$A$1:$AE$1048576,2,0)</f>
        <v>9684</v>
      </c>
      <c r="C52" s="110" t="s">
        <v>158</v>
      </c>
      <c r="D52" s="102" t="n">
        <v>2</v>
      </c>
      <c r="E52" s="103" t="n">
        <f aca="false">VLOOKUP(B52,CMV!A:L,12,0)</f>
        <v>41.513145</v>
      </c>
      <c r="F52" s="104" t="n">
        <v>0.45</v>
      </c>
      <c r="G52" s="103" t="n">
        <f aca="false">E52/(1-F52)</f>
        <v>75.4784454545455</v>
      </c>
      <c r="H52" s="103" t="n">
        <f aca="false">G52*0.965</f>
        <v>72.8366998636364</v>
      </c>
      <c r="I52" s="103" t="n">
        <f aca="false">G52*0.9</f>
        <v>67.9306009090909</v>
      </c>
      <c r="J52" s="103" t="n">
        <f aca="false">G52*0.86</f>
        <v>64.9114630909091</v>
      </c>
      <c r="K52" s="40"/>
      <c r="L52" s="114" t="n">
        <f aca="false">E52*$D$52</f>
        <v>83.02629</v>
      </c>
      <c r="M52" s="115" t="n">
        <f aca="false">$D52*G52</f>
        <v>150.956890909091</v>
      </c>
      <c r="N52" s="115" t="n">
        <f aca="false">$D52*H52</f>
        <v>145.673399727273</v>
      </c>
      <c r="O52" s="115" t="n">
        <f aca="false">$D52*I52</f>
        <v>135.861201818182</v>
      </c>
      <c r="P52" s="116" t="n">
        <f aca="false">$D52*J52</f>
        <v>129.822926181818</v>
      </c>
    </row>
    <row r="53" customFormat="false" ht="13.5" hidden="false" customHeight="false" outlineLevel="0" collapsed="false">
      <c r="A53" s="73"/>
      <c r="G53" s="75"/>
      <c r="M53" s="40"/>
    </row>
    <row r="54" customFormat="false" ht="13.5" hidden="false" customHeight="false" outlineLevel="0" collapsed="false">
      <c r="A54" s="73"/>
    </row>
    <row r="55" customFormat="false" ht="13.5" hidden="false" customHeight="false" outlineLevel="0" collapsed="false">
      <c r="A55" s="73"/>
    </row>
    <row r="56" customFormat="false" ht="13.5" hidden="false" customHeight="false" outlineLevel="0" collapsed="false">
      <c r="A56" s="73"/>
    </row>
    <row r="57" customFormat="false" ht="13.5" hidden="false" customHeight="false" outlineLevel="0" collapsed="false">
      <c r="A57" s="73"/>
    </row>
    <row r="58" customFormat="false" ht="13.5" hidden="false" customHeight="false" outlineLevel="0" collapsed="false">
      <c r="A58" s="73"/>
    </row>
    <row r="59" customFormat="false" ht="13.5" hidden="false" customHeight="false" outlineLevel="0" collapsed="false">
      <c r="A59" s="73"/>
    </row>
    <row r="60" customFormat="false" ht="13.5" hidden="false" customHeight="false" outlineLevel="0" collapsed="false">
      <c r="A60" s="73"/>
    </row>
    <row r="61" customFormat="false" ht="13.5" hidden="false" customHeight="false" outlineLevel="0" collapsed="false">
      <c r="A61" s="73"/>
    </row>
    <row r="62" customFormat="false" ht="13.5" hidden="false" customHeight="false" outlineLevel="0" collapsed="false">
      <c r="A62" s="73"/>
    </row>
    <row r="63" customFormat="false" ht="13.5" hidden="false" customHeight="false" outlineLevel="0" collapsed="false">
      <c r="A63" s="73"/>
    </row>
    <row r="64" customFormat="false" ht="13.5" hidden="false" customHeight="false" outlineLevel="0" collapsed="false">
      <c r="A64" s="73"/>
    </row>
    <row r="65" customFormat="false" ht="13.5" hidden="false" customHeight="false" outlineLevel="0" collapsed="false">
      <c r="A65" s="73"/>
    </row>
    <row r="66" customFormat="false" ht="13.5" hidden="false" customHeight="false" outlineLevel="0" collapsed="false">
      <c r="A66" s="73"/>
    </row>
    <row r="67" customFormat="false" ht="13.5" hidden="false" customHeight="false" outlineLevel="0" collapsed="false">
      <c r="A67" s="73"/>
    </row>
    <row r="68" customFormat="false" ht="13.5" hidden="false" customHeight="false" outlineLevel="0" collapsed="false">
      <c r="A68" s="73"/>
    </row>
    <row r="69" customFormat="false" ht="13.5" hidden="false" customHeight="false" outlineLevel="0" collapsed="false">
      <c r="A69" s="73"/>
    </row>
    <row r="70" customFormat="false" ht="13.5" hidden="false" customHeight="false" outlineLevel="0" collapsed="false">
      <c r="A70" s="73"/>
    </row>
    <row r="71" customFormat="false" ht="13.5" hidden="false" customHeight="false" outlineLevel="0" collapsed="false">
      <c r="A71" s="73"/>
    </row>
    <row r="72" customFormat="false" ht="13.5" hidden="false" customHeight="false" outlineLevel="0" collapsed="false">
      <c r="A72" s="73"/>
    </row>
    <row r="73" customFormat="false" ht="13.5" hidden="false" customHeight="false" outlineLevel="0" collapsed="false">
      <c r="A73" s="73"/>
    </row>
    <row r="74" customFormat="false" ht="13.5" hidden="false" customHeight="false" outlineLevel="0" collapsed="false">
      <c r="A74" s="73"/>
    </row>
    <row r="75" customFormat="false" ht="13.5" hidden="false" customHeight="false" outlineLevel="0" collapsed="false">
      <c r="A75" s="73"/>
    </row>
    <row r="76" customFormat="false" ht="13.5" hidden="false" customHeight="false" outlineLevel="0" collapsed="false">
      <c r="A76" s="73"/>
    </row>
    <row r="77" customFormat="false" ht="13.5" hidden="false" customHeight="false" outlineLevel="0" collapsed="false">
      <c r="A77" s="73"/>
    </row>
    <row r="78" customFormat="false" ht="13.5" hidden="false" customHeight="false" outlineLevel="0" collapsed="false">
      <c r="A78" s="73"/>
    </row>
    <row r="79" customFormat="false" ht="13.5" hidden="false" customHeight="false" outlineLevel="0" collapsed="false">
      <c r="A79" s="73"/>
    </row>
    <row r="80" customFormat="false" ht="13.5" hidden="false" customHeight="false" outlineLevel="0" collapsed="false">
      <c r="A80" s="73"/>
    </row>
    <row r="81" customFormat="false" ht="13.5" hidden="false" customHeight="false" outlineLevel="0" collapsed="false">
      <c r="A81" s="73"/>
    </row>
    <row r="82" customFormat="false" ht="13.5" hidden="false" customHeight="false" outlineLevel="0" collapsed="false">
      <c r="A82" s="73"/>
    </row>
    <row r="83" customFormat="false" ht="13.5" hidden="false" customHeight="false" outlineLevel="0" collapsed="false">
      <c r="A83" s="73"/>
    </row>
    <row r="84" customFormat="false" ht="13.5" hidden="false" customHeight="false" outlineLevel="0" collapsed="false">
      <c r="A84" s="73"/>
    </row>
    <row r="85" customFormat="false" ht="13.5" hidden="false" customHeight="false" outlineLevel="0" collapsed="false">
      <c r="A85" s="73"/>
    </row>
    <row r="86" customFormat="false" ht="13.5" hidden="false" customHeight="false" outlineLevel="0" collapsed="false">
      <c r="A86" s="73"/>
    </row>
    <row r="87" customFormat="false" ht="13.5" hidden="false" customHeight="false" outlineLevel="0" collapsed="false">
      <c r="A87" s="73"/>
    </row>
    <row r="88" customFormat="false" ht="13.5" hidden="false" customHeight="false" outlineLevel="0" collapsed="false">
      <c r="A88" s="73"/>
    </row>
    <row r="89" customFormat="false" ht="13.5" hidden="false" customHeight="false" outlineLevel="0" collapsed="false">
      <c r="A89" s="73"/>
    </row>
    <row r="90" customFormat="false" ht="13.5" hidden="false" customHeight="false" outlineLevel="0" collapsed="false">
      <c r="A90" s="73"/>
    </row>
    <row r="91" customFormat="false" ht="13.5" hidden="false" customHeight="false" outlineLevel="0" collapsed="false">
      <c r="A91" s="73"/>
    </row>
    <row r="92" customFormat="false" ht="13.5" hidden="false" customHeight="false" outlineLevel="0" collapsed="false">
      <c r="A92" s="73"/>
    </row>
    <row r="93" customFormat="false" ht="13.5" hidden="false" customHeight="false" outlineLevel="0" collapsed="false">
      <c r="A93" s="73"/>
    </row>
    <row r="94" customFormat="false" ht="13.5" hidden="false" customHeight="false" outlineLevel="0" collapsed="false">
      <c r="A94" s="73"/>
    </row>
    <row r="95" customFormat="false" ht="13.5" hidden="false" customHeight="false" outlineLevel="0" collapsed="false">
      <c r="A95" s="73"/>
    </row>
    <row r="96" customFormat="false" ht="13.5" hidden="false" customHeight="false" outlineLevel="0" collapsed="false">
      <c r="A96" s="73"/>
    </row>
    <row r="97" customFormat="false" ht="13.5" hidden="false" customHeight="false" outlineLevel="0" collapsed="false">
      <c r="A97" s="73"/>
    </row>
    <row r="98" customFormat="false" ht="13.5" hidden="false" customHeight="false" outlineLevel="0" collapsed="false">
      <c r="A98" s="73"/>
    </row>
    <row r="99" customFormat="false" ht="13.5" hidden="false" customHeight="false" outlineLevel="0" collapsed="false">
      <c r="A99" s="73"/>
    </row>
    <row r="100" customFormat="false" ht="13.5" hidden="false" customHeight="false" outlineLevel="0" collapsed="false">
      <c r="A100" s="73"/>
    </row>
    <row r="101" customFormat="false" ht="13.5" hidden="false" customHeight="false" outlineLevel="0" collapsed="false">
      <c r="A101" s="73"/>
    </row>
    <row r="102" customFormat="false" ht="13.5" hidden="false" customHeight="false" outlineLevel="0" collapsed="false">
      <c r="A102" s="73"/>
    </row>
    <row r="103" customFormat="false" ht="13.5" hidden="false" customHeight="false" outlineLevel="0" collapsed="false">
      <c r="A103" s="73"/>
    </row>
    <row r="104" customFormat="false" ht="13.5" hidden="false" customHeight="false" outlineLevel="0" collapsed="false">
      <c r="A104" s="73"/>
    </row>
    <row r="105" customFormat="false" ht="13.5" hidden="false" customHeight="false" outlineLevel="0" collapsed="false">
      <c r="A105" s="73"/>
    </row>
    <row r="106" customFormat="false" ht="13.5" hidden="false" customHeight="false" outlineLevel="0" collapsed="false">
      <c r="A106" s="73"/>
    </row>
    <row r="107" customFormat="false" ht="13.5" hidden="false" customHeight="false" outlineLevel="0" collapsed="false">
      <c r="A107" s="73"/>
    </row>
    <row r="108" customFormat="false" ht="13.5" hidden="false" customHeight="false" outlineLevel="0" collapsed="false">
      <c r="A108" s="73"/>
    </row>
    <row r="109" customFormat="false" ht="13.5" hidden="false" customHeight="false" outlineLevel="0" collapsed="false">
      <c r="A109" s="73"/>
    </row>
    <row r="110" customFormat="false" ht="13.5" hidden="false" customHeight="false" outlineLevel="0" collapsed="false">
      <c r="A110" s="73"/>
    </row>
    <row r="111" customFormat="false" ht="13.5" hidden="false" customHeight="false" outlineLevel="0" collapsed="false">
      <c r="A111" s="73"/>
    </row>
    <row r="112" customFormat="false" ht="13.5" hidden="false" customHeight="false" outlineLevel="0" collapsed="false">
      <c r="A112" s="73"/>
    </row>
    <row r="113" customFormat="false" ht="13.5" hidden="false" customHeight="false" outlineLevel="0" collapsed="false">
      <c r="A113" s="73"/>
    </row>
    <row r="114" customFormat="false" ht="13.5" hidden="false" customHeight="false" outlineLevel="0" collapsed="false">
      <c r="A114" s="73"/>
    </row>
    <row r="115" customFormat="false" ht="13.5" hidden="false" customHeight="false" outlineLevel="0" collapsed="false">
      <c r="A115" s="73"/>
    </row>
    <row r="116" customFormat="false" ht="13.5" hidden="false" customHeight="false" outlineLevel="0" collapsed="false">
      <c r="A116" s="73"/>
    </row>
    <row r="117" customFormat="false" ht="13.5" hidden="false" customHeight="false" outlineLevel="0" collapsed="false">
      <c r="A117" s="73"/>
    </row>
    <row r="118" customFormat="false" ht="13.5" hidden="false" customHeight="false" outlineLevel="0" collapsed="false">
      <c r="A118" s="73"/>
    </row>
    <row r="119" customFormat="false" ht="13.5" hidden="false" customHeight="false" outlineLevel="0" collapsed="false">
      <c r="A119" s="73"/>
    </row>
    <row r="120" customFormat="false" ht="13.5" hidden="false" customHeight="false" outlineLevel="0" collapsed="false">
      <c r="A120" s="73"/>
    </row>
    <row r="121" customFormat="false" ht="13.5" hidden="false" customHeight="false" outlineLevel="0" collapsed="false">
      <c r="A121" s="73"/>
    </row>
    <row r="122" customFormat="false" ht="13.5" hidden="false" customHeight="false" outlineLevel="0" collapsed="false">
      <c r="A122" s="73"/>
    </row>
    <row r="123" customFormat="false" ht="13.5" hidden="false" customHeight="false" outlineLevel="0" collapsed="false">
      <c r="A123" s="73"/>
    </row>
    <row r="124" customFormat="false" ht="13.5" hidden="false" customHeight="false" outlineLevel="0" collapsed="false">
      <c r="A124" s="73"/>
    </row>
    <row r="125" customFormat="false" ht="13.5" hidden="false" customHeight="false" outlineLevel="0" collapsed="false">
      <c r="A125" s="73"/>
    </row>
    <row r="126" customFormat="false" ht="13.5" hidden="false" customHeight="false" outlineLevel="0" collapsed="false">
      <c r="A126" s="73"/>
    </row>
    <row r="127" customFormat="false" ht="13.5" hidden="false" customHeight="false" outlineLevel="0" collapsed="false">
      <c r="A127" s="73"/>
    </row>
    <row r="128" customFormat="false" ht="13.5" hidden="false" customHeight="false" outlineLevel="0" collapsed="false">
      <c r="A128" s="73"/>
    </row>
    <row r="129" customFormat="false" ht="13.5" hidden="false" customHeight="false" outlineLevel="0" collapsed="false">
      <c r="A129" s="73"/>
    </row>
    <row r="130" customFormat="false" ht="13.5" hidden="false" customHeight="false" outlineLevel="0" collapsed="false">
      <c r="A130" s="73"/>
    </row>
    <row r="131" customFormat="false" ht="13.5" hidden="false" customHeight="false" outlineLevel="0" collapsed="false">
      <c r="A131" s="73"/>
    </row>
    <row r="132" customFormat="false" ht="13.5" hidden="false" customHeight="false" outlineLevel="0" collapsed="false">
      <c r="A132" s="73"/>
    </row>
    <row r="133" customFormat="false" ht="13.5" hidden="false" customHeight="false" outlineLevel="0" collapsed="false">
      <c r="A133" s="73"/>
    </row>
    <row r="134" customFormat="false" ht="13.5" hidden="false" customHeight="false" outlineLevel="0" collapsed="false">
      <c r="A134" s="73"/>
    </row>
    <row r="135" customFormat="false" ht="13.5" hidden="false" customHeight="false" outlineLevel="0" collapsed="false">
      <c r="A135" s="73"/>
    </row>
    <row r="136" customFormat="false" ht="13.5" hidden="false" customHeight="false" outlineLevel="0" collapsed="false">
      <c r="A136" s="73"/>
    </row>
    <row r="137" customFormat="false" ht="13.5" hidden="false" customHeight="false" outlineLevel="0" collapsed="false">
      <c r="A137" s="73"/>
    </row>
    <row r="138" customFormat="false" ht="13.5" hidden="false" customHeight="false" outlineLevel="0" collapsed="false">
      <c r="A138" s="73"/>
    </row>
    <row r="139" customFormat="false" ht="13.5" hidden="false" customHeight="false" outlineLevel="0" collapsed="false">
      <c r="A139" s="73"/>
    </row>
    <row r="140" customFormat="false" ht="13.5" hidden="false" customHeight="false" outlineLevel="0" collapsed="false">
      <c r="A140" s="73"/>
    </row>
    <row r="141" customFormat="false" ht="13.5" hidden="false" customHeight="false" outlineLevel="0" collapsed="false">
      <c r="A141" s="73"/>
    </row>
    <row r="142" customFormat="false" ht="13.5" hidden="false" customHeight="false" outlineLevel="0" collapsed="false">
      <c r="A142" s="73"/>
    </row>
    <row r="143" customFormat="false" ht="13.5" hidden="false" customHeight="false" outlineLevel="0" collapsed="false">
      <c r="A143" s="73"/>
    </row>
    <row r="144" customFormat="false" ht="13.5" hidden="false" customHeight="false" outlineLevel="0" collapsed="false">
      <c r="A144" s="73"/>
    </row>
    <row r="145" customFormat="false" ht="13.5" hidden="false" customHeight="false" outlineLevel="0" collapsed="false">
      <c r="A145" s="73"/>
    </row>
    <row r="146" customFormat="false" ht="13.5" hidden="false" customHeight="false" outlineLevel="0" collapsed="false">
      <c r="A146" s="73"/>
    </row>
    <row r="147" customFormat="false" ht="13.5" hidden="false" customHeight="false" outlineLevel="0" collapsed="false">
      <c r="A147" s="73"/>
    </row>
    <row r="148" customFormat="false" ht="13.5" hidden="false" customHeight="false" outlineLevel="0" collapsed="false">
      <c r="A148" s="73"/>
    </row>
    <row r="149" customFormat="false" ht="13.5" hidden="false" customHeight="false" outlineLevel="0" collapsed="false">
      <c r="A149" s="73"/>
    </row>
    <row r="150" customFormat="false" ht="13.5" hidden="false" customHeight="false" outlineLevel="0" collapsed="false">
      <c r="A150" s="73"/>
    </row>
    <row r="151" customFormat="false" ht="13.5" hidden="false" customHeight="false" outlineLevel="0" collapsed="false">
      <c r="A151" s="73"/>
    </row>
    <row r="152" customFormat="false" ht="13.5" hidden="false" customHeight="false" outlineLevel="0" collapsed="false">
      <c r="A152" s="73"/>
    </row>
    <row r="153" customFormat="false" ht="13.5" hidden="false" customHeight="false" outlineLevel="0" collapsed="false">
      <c r="A153" s="73"/>
    </row>
    <row r="154" customFormat="false" ht="13.5" hidden="false" customHeight="false" outlineLevel="0" collapsed="false">
      <c r="A154" s="73"/>
    </row>
    <row r="155" customFormat="false" ht="13.5" hidden="false" customHeight="false" outlineLevel="0" collapsed="false">
      <c r="A155" s="73"/>
    </row>
    <row r="156" customFormat="false" ht="13.5" hidden="false" customHeight="false" outlineLevel="0" collapsed="false">
      <c r="A156" s="73"/>
    </row>
    <row r="157" customFormat="false" ht="13.5" hidden="false" customHeight="false" outlineLevel="0" collapsed="false">
      <c r="A157" s="73"/>
    </row>
    <row r="158" customFormat="false" ht="13.5" hidden="false" customHeight="false" outlineLevel="0" collapsed="false">
      <c r="A158" s="73"/>
    </row>
    <row r="159" customFormat="false" ht="13.5" hidden="false" customHeight="false" outlineLevel="0" collapsed="false">
      <c r="A159" s="73"/>
    </row>
    <row r="160" customFormat="false" ht="13.5" hidden="false" customHeight="false" outlineLevel="0" collapsed="false">
      <c r="A160" s="73"/>
    </row>
    <row r="161" customFormat="false" ht="13.5" hidden="false" customHeight="false" outlineLevel="0" collapsed="false">
      <c r="A161" s="73"/>
    </row>
    <row r="162" customFormat="false" ht="13.5" hidden="false" customHeight="false" outlineLevel="0" collapsed="false">
      <c r="A162" s="73"/>
    </row>
    <row r="163" customFormat="false" ht="13.5" hidden="false" customHeight="false" outlineLevel="0" collapsed="false">
      <c r="A163" s="73"/>
    </row>
    <row r="164" customFormat="false" ht="13.5" hidden="false" customHeight="false" outlineLevel="0" collapsed="false">
      <c r="A164" s="73"/>
    </row>
    <row r="165" customFormat="false" ht="13.5" hidden="false" customHeight="false" outlineLevel="0" collapsed="false">
      <c r="A165" s="73"/>
    </row>
    <row r="166" customFormat="false" ht="13.5" hidden="false" customHeight="false" outlineLevel="0" collapsed="false">
      <c r="A166" s="73"/>
    </row>
    <row r="167" customFormat="false" ht="13.5" hidden="false" customHeight="false" outlineLevel="0" collapsed="false">
      <c r="A167" s="73"/>
    </row>
    <row r="168" customFormat="false" ht="13.5" hidden="false" customHeight="false" outlineLevel="0" collapsed="false">
      <c r="A168" s="73"/>
    </row>
    <row r="169" customFormat="false" ht="13.5" hidden="false" customHeight="false" outlineLevel="0" collapsed="false">
      <c r="A169" s="73"/>
    </row>
    <row r="170" customFormat="false" ht="13.5" hidden="false" customHeight="false" outlineLevel="0" collapsed="false">
      <c r="A170" s="73"/>
    </row>
    <row r="171" customFormat="false" ht="13.5" hidden="false" customHeight="false" outlineLevel="0" collapsed="false">
      <c r="A171" s="73"/>
    </row>
    <row r="172" customFormat="false" ht="13.5" hidden="false" customHeight="false" outlineLevel="0" collapsed="false">
      <c r="A172" s="73"/>
    </row>
    <row r="173" customFormat="false" ht="13.5" hidden="false" customHeight="false" outlineLevel="0" collapsed="false">
      <c r="A173" s="73"/>
    </row>
    <row r="174" customFormat="false" ht="13.5" hidden="false" customHeight="false" outlineLevel="0" collapsed="false">
      <c r="A174" s="73"/>
    </row>
    <row r="175" customFormat="false" ht="13.5" hidden="false" customHeight="false" outlineLevel="0" collapsed="false">
      <c r="A175" s="73"/>
    </row>
    <row r="176" customFormat="false" ht="13.5" hidden="false" customHeight="false" outlineLevel="0" collapsed="false">
      <c r="A176" s="73"/>
    </row>
    <row r="177" customFormat="false" ht="13.5" hidden="false" customHeight="false" outlineLevel="0" collapsed="false">
      <c r="A177" s="73"/>
    </row>
    <row r="178" customFormat="false" ht="13.5" hidden="false" customHeight="false" outlineLevel="0" collapsed="false">
      <c r="A178" s="73"/>
    </row>
    <row r="179" customFormat="false" ht="13.5" hidden="false" customHeight="false" outlineLevel="0" collapsed="false">
      <c r="A179" s="73"/>
    </row>
    <row r="180" customFormat="false" ht="13.5" hidden="false" customHeight="false" outlineLevel="0" collapsed="false">
      <c r="A180" s="73"/>
    </row>
    <row r="181" customFormat="false" ht="13.5" hidden="false" customHeight="false" outlineLevel="0" collapsed="false">
      <c r="A181" s="73"/>
    </row>
    <row r="182" customFormat="false" ht="13.5" hidden="false" customHeight="false" outlineLevel="0" collapsed="false">
      <c r="A182" s="73"/>
    </row>
    <row r="183" customFormat="false" ht="13.5" hidden="false" customHeight="false" outlineLevel="0" collapsed="false">
      <c r="A183" s="73"/>
    </row>
    <row r="184" customFormat="false" ht="13.5" hidden="false" customHeight="false" outlineLevel="0" collapsed="false">
      <c r="A184" s="73"/>
    </row>
    <row r="185" customFormat="false" ht="13.5" hidden="false" customHeight="false" outlineLevel="0" collapsed="false">
      <c r="A185" s="73"/>
    </row>
    <row r="186" customFormat="false" ht="13.5" hidden="false" customHeight="false" outlineLevel="0" collapsed="false">
      <c r="A186" s="73"/>
    </row>
    <row r="187" customFormat="false" ht="13.5" hidden="false" customHeight="false" outlineLevel="0" collapsed="false">
      <c r="A187" s="73"/>
    </row>
    <row r="188" customFormat="false" ht="13.5" hidden="false" customHeight="false" outlineLevel="0" collapsed="false">
      <c r="A188" s="73"/>
    </row>
    <row r="189" customFormat="false" ht="13.5" hidden="false" customHeight="false" outlineLevel="0" collapsed="false">
      <c r="A189" s="73"/>
    </row>
    <row r="190" customFormat="false" ht="13.5" hidden="false" customHeight="false" outlineLevel="0" collapsed="false">
      <c r="A190" s="73"/>
    </row>
    <row r="191" customFormat="false" ht="13.5" hidden="false" customHeight="false" outlineLevel="0" collapsed="false">
      <c r="A191" s="73"/>
    </row>
    <row r="192" customFormat="false" ht="13.5" hidden="false" customHeight="false" outlineLevel="0" collapsed="false">
      <c r="A192" s="73"/>
    </row>
    <row r="193" customFormat="false" ht="13.5" hidden="false" customHeight="false" outlineLevel="0" collapsed="false">
      <c r="A193" s="73"/>
    </row>
    <row r="194" customFormat="false" ht="13.5" hidden="false" customHeight="false" outlineLevel="0" collapsed="false">
      <c r="A194" s="73"/>
    </row>
    <row r="195" customFormat="false" ht="13.5" hidden="false" customHeight="false" outlineLevel="0" collapsed="false">
      <c r="A195" s="73"/>
    </row>
    <row r="196" customFormat="false" ht="13.5" hidden="false" customHeight="false" outlineLevel="0" collapsed="false">
      <c r="A196" s="73"/>
    </row>
    <row r="197" customFormat="false" ht="13.5" hidden="false" customHeight="false" outlineLevel="0" collapsed="false">
      <c r="A197" s="73"/>
    </row>
    <row r="198" customFormat="false" ht="13.5" hidden="false" customHeight="false" outlineLevel="0" collapsed="false">
      <c r="A198" s="73"/>
    </row>
    <row r="199" customFormat="false" ht="13.5" hidden="false" customHeight="false" outlineLevel="0" collapsed="false">
      <c r="A199" s="73"/>
    </row>
    <row r="200" customFormat="false" ht="13.5" hidden="false" customHeight="false" outlineLevel="0" collapsed="false">
      <c r="A200" s="73"/>
    </row>
    <row r="201" customFormat="false" ht="13.5" hidden="false" customHeight="false" outlineLevel="0" collapsed="false">
      <c r="A201" s="73"/>
    </row>
    <row r="202" customFormat="false" ht="13.5" hidden="false" customHeight="false" outlineLevel="0" collapsed="false">
      <c r="A202" s="73"/>
    </row>
    <row r="203" customFormat="false" ht="13.5" hidden="false" customHeight="false" outlineLevel="0" collapsed="false">
      <c r="A203" s="73"/>
    </row>
    <row r="204" customFormat="false" ht="13.5" hidden="false" customHeight="false" outlineLevel="0" collapsed="false">
      <c r="A204" s="73"/>
    </row>
    <row r="205" customFormat="false" ht="13.5" hidden="false" customHeight="false" outlineLevel="0" collapsed="false">
      <c r="A205" s="73"/>
    </row>
    <row r="206" customFormat="false" ht="13.5" hidden="false" customHeight="false" outlineLevel="0" collapsed="false">
      <c r="A206" s="73"/>
    </row>
    <row r="207" customFormat="false" ht="13.5" hidden="false" customHeight="false" outlineLevel="0" collapsed="false">
      <c r="A207" s="73"/>
    </row>
    <row r="208" customFormat="false" ht="13.5" hidden="false" customHeight="false" outlineLevel="0" collapsed="false">
      <c r="A208" s="73"/>
    </row>
    <row r="209" customFormat="false" ht="13.5" hidden="false" customHeight="false" outlineLevel="0" collapsed="false">
      <c r="A209" s="73"/>
    </row>
    <row r="210" customFormat="false" ht="13.5" hidden="false" customHeight="false" outlineLevel="0" collapsed="false">
      <c r="A210" s="73"/>
    </row>
    <row r="211" customFormat="false" ht="13.5" hidden="false" customHeight="false" outlineLevel="0" collapsed="false">
      <c r="A211" s="73"/>
    </row>
    <row r="212" customFormat="false" ht="13.5" hidden="false" customHeight="false" outlineLevel="0" collapsed="false">
      <c r="A212" s="73"/>
    </row>
    <row r="213" customFormat="false" ht="13.5" hidden="false" customHeight="false" outlineLevel="0" collapsed="false">
      <c r="A213" s="73"/>
    </row>
    <row r="214" customFormat="false" ht="13.5" hidden="false" customHeight="false" outlineLevel="0" collapsed="false">
      <c r="A214" s="73"/>
    </row>
    <row r="215" customFormat="false" ht="13.5" hidden="false" customHeight="false" outlineLevel="0" collapsed="false">
      <c r="A215" s="73"/>
    </row>
    <row r="216" customFormat="false" ht="13.5" hidden="false" customHeight="false" outlineLevel="0" collapsed="false">
      <c r="A216" s="73"/>
    </row>
    <row r="217" customFormat="false" ht="13.5" hidden="false" customHeight="false" outlineLevel="0" collapsed="false">
      <c r="A217" s="73"/>
    </row>
    <row r="218" customFormat="false" ht="13.5" hidden="false" customHeight="false" outlineLevel="0" collapsed="false">
      <c r="A218" s="73"/>
    </row>
    <row r="219" customFormat="false" ht="13.5" hidden="false" customHeight="false" outlineLevel="0" collapsed="false">
      <c r="A219" s="73"/>
    </row>
    <row r="220" customFormat="false" ht="13.5" hidden="false" customHeight="false" outlineLevel="0" collapsed="false">
      <c r="A220" s="73"/>
    </row>
    <row r="221" customFormat="false" ht="13.5" hidden="false" customHeight="false" outlineLevel="0" collapsed="false">
      <c r="A221" s="73"/>
    </row>
    <row r="222" customFormat="false" ht="13.5" hidden="false" customHeight="false" outlineLevel="0" collapsed="false">
      <c r="A222" s="73"/>
    </row>
    <row r="223" customFormat="false" ht="13.5" hidden="false" customHeight="false" outlineLevel="0" collapsed="false">
      <c r="A223" s="73"/>
    </row>
    <row r="224" customFormat="false" ht="13.5" hidden="false" customHeight="false" outlineLevel="0" collapsed="false">
      <c r="A224" s="73"/>
    </row>
    <row r="225" customFormat="false" ht="13.5" hidden="false" customHeight="false" outlineLevel="0" collapsed="false">
      <c r="A225" s="73"/>
    </row>
    <row r="226" customFormat="false" ht="13.5" hidden="false" customHeight="false" outlineLevel="0" collapsed="false">
      <c r="A226" s="73"/>
    </row>
    <row r="227" customFormat="false" ht="13.5" hidden="false" customHeight="false" outlineLevel="0" collapsed="false">
      <c r="A227" s="73"/>
    </row>
    <row r="228" customFormat="false" ht="13.5" hidden="false" customHeight="false" outlineLevel="0" collapsed="false">
      <c r="A228" s="73"/>
    </row>
    <row r="229" customFormat="false" ht="13.5" hidden="false" customHeight="false" outlineLevel="0" collapsed="false">
      <c r="A229" s="73"/>
    </row>
    <row r="230" customFormat="false" ht="13.5" hidden="false" customHeight="false" outlineLevel="0" collapsed="false">
      <c r="A230" s="73"/>
    </row>
    <row r="231" customFormat="false" ht="13.5" hidden="false" customHeight="false" outlineLevel="0" collapsed="false">
      <c r="A231" s="73"/>
    </row>
    <row r="232" customFormat="false" ht="13.5" hidden="false" customHeight="false" outlineLevel="0" collapsed="false">
      <c r="A232" s="73"/>
    </row>
    <row r="233" customFormat="false" ht="13.5" hidden="false" customHeight="false" outlineLevel="0" collapsed="false">
      <c r="A233" s="73"/>
    </row>
    <row r="234" customFormat="false" ht="13.5" hidden="false" customHeight="false" outlineLevel="0" collapsed="false">
      <c r="A234" s="73"/>
    </row>
    <row r="235" customFormat="false" ht="13.5" hidden="false" customHeight="false" outlineLevel="0" collapsed="false">
      <c r="A235" s="73"/>
    </row>
    <row r="236" customFormat="false" ht="13.5" hidden="false" customHeight="false" outlineLevel="0" collapsed="false">
      <c r="A236" s="73"/>
    </row>
    <row r="237" customFormat="false" ht="13.5" hidden="false" customHeight="false" outlineLevel="0" collapsed="false">
      <c r="A237" s="73"/>
    </row>
    <row r="238" customFormat="false" ht="13.5" hidden="false" customHeight="false" outlineLevel="0" collapsed="false">
      <c r="A238" s="73"/>
    </row>
    <row r="239" customFormat="false" ht="13.5" hidden="false" customHeight="false" outlineLevel="0" collapsed="false">
      <c r="A239" s="73"/>
    </row>
    <row r="240" customFormat="false" ht="13.5" hidden="false" customHeight="false" outlineLevel="0" collapsed="false">
      <c r="A240" s="73"/>
    </row>
    <row r="241" customFormat="false" ht="13.5" hidden="false" customHeight="false" outlineLevel="0" collapsed="false">
      <c r="A241" s="73"/>
    </row>
    <row r="242" customFormat="false" ht="13.5" hidden="false" customHeight="false" outlineLevel="0" collapsed="false">
      <c r="A242" s="73"/>
    </row>
    <row r="243" customFormat="false" ht="13.5" hidden="false" customHeight="false" outlineLevel="0" collapsed="false">
      <c r="A243" s="73"/>
    </row>
    <row r="244" customFormat="false" ht="13.5" hidden="false" customHeight="false" outlineLevel="0" collapsed="false">
      <c r="A244" s="73"/>
    </row>
    <row r="245" customFormat="false" ht="13.5" hidden="false" customHeight="false" outlineLevel="0" collapsed="false">
      <c r="A245" s="73"/>
    </row>
    <row r="246" customFormat="false" ht="13.5" hidden="false" customHeight="false" outlineLevel="0" collapsed="false">
      <c r="A246" s="73"/>
    </row>
    <row r="247" customFormat="false" ht="13.5" hidden="false" customHeight="false" outlineLevel="0" collapsed="false">
      <c r="A247" s="73"/>
    </row>
    <row r="248" customFormat="false" ht="13.5" hidden="false" customHeight="false" outlineLevel="0" collapsed="false">
      <c r="A248" s="73"/>
    </row>
    <row r="249" customFormat="false" ht="13.5" hidden="false" customHeight="false" outlineLevel="0" collapsed="false">
      <c r="A249" s="73"/>
    </row>
    <row r="250" customFormat="false" ht="13.5" hidden="false" customHeight="false" outlineLevel="0" collapsed="false">
      <c r="A250" s="73"/>
    </row>
    <row r="251" customFormat="false" ht="13.5" hidden="false" customHeight="false" outlineLevel="0" collapsed="false">
      <c r="A251" s="73"/>
    </row>
    <row r="252" customFormat="false" ht="13.5" hidden="false" customHeight="false" outlineLevel="0" collapsed="false">
      <c r="A252" s="73"/>
    </row>
    <row r="253" customFormat="false" ht="13.5" hidden="false" customHeight="false" outlineLevel="0" collapsed="false">
      <c r="A253" s="73"/>
    </row>
    <row r="254" customFormat="false" ht="13.5" hidden="false" customHeight="false" outlineLevel="0" collapsed="false">
      <c r="A254" s="73"/>
    </row>
    <row r="255" customFormat="false" ht="13.5" hidden="false" customHeight="false" outlineLevel="0" collapsed="false">
      <c r="A255" s="73"/>
    </row>
    <row r="256" customFormat="false" ht="13.5" hidden="false" customHeight="false" outlineLevel="0" collapsed="false">
      <c r="A256" s="73"/>
    </row>
    <row r="257" customFormat="false" ht="13.5" hidden="false" customHeight="false" outlineLevel="0" collapsed="false">
      <c r="A257" s="73"/>
    </row>
    <row r="258" customFormat="false" ht="13.5" hidden="false" customHeight="false" outlineLevel="0" collapsed="false">
      <c r="A258" s="73"/>
    </row>
    <row r="259" customFormat="false" ht="13.5" hidden="false" customHeight="false" outlineLevel="0" collapsed="false">
      <c r="A259" s="73"/>
    </row>
    <row r="260" customFormat="false" ht="13.5" hidden="false" customHeight="false" outlineLevel="0" collapsed="false">
      <c r="A260" s="73"/>
    </row>
    <row r="261" customFormat="false" ht="13.5" hidden="false" customHeight="false" outlineLevel="0" collapsed="false">
      <c r="A261" s="73"/>
    </row>
    <row r="262" customFormat="false" ht="13.5" hidden="false" customHeight="false" outlineLevel="0" collapsed="false">
      <c r="A262" s="73"/>
    </row>
    <row r="263" customFormat="false" ht="13.5" hidden="false" customHeight="false" outlineLevel="0" collapsed="false">
      <c r="A263" s="73"/>
    </row>
    <row r="264" customFormat="false" ht="13.5" hidden="false" customHeight="false" outlineLevel="0" collapsed="false">
      <c r="A264" s="73"/>
    </row>
    <row r="265" customFormat="false" ht="13.5" hidden="false" customHeight="false" outlineLevel="0" collapsed="false">
      <c r="A265" s="73"/>
    </row>
    <row r="266" customFormat="false" ht="13.5" hidden="false" customHeight="false" outlineLevel="0" collapsed="false">
      <c r="A266" s="73"/>
    </row>
    <row r="267" customFormat="false" ht="13.5" hidden="false" customHeight="false" outlineLevel="0" collapsed="false">
      <c r="A267" s="73"/>
    </row>
    <row r="268" customFormat="false" ht="13.5" hidden="false" customHeight="false" outlineLevel="0" collapsed="false">
      <c r="A268" s="73"/>
    </row>
    <row r="269" customFormat="false" ht="13.5" hidden="false" customHeight="false" outlineLevel="0" collapsed="false">
      <c r="A269" s="73"/>
    </row>
    <row r="270" customFormat="false" ht="13.5" hidden="false" customHeight="false" outlineLevel="0" collapsed="false">
      <c r="A270" s="73"/>
    </row>
    <row r="271" customFormat="false" ht="13.5" hidden="false" customHeight="false" outlineLevel="0" collapsed="false">
      <c r="A271" s="73"/>
    </row>
    <row r="272" customFormat="false" ht="13.5" hidden="false" customHeight="false" outlineLevel="0" collapsed="false">
      <c r="A272" s="73"/>
    </row>
    <row r="273" customFormat="false" ht="13.5" hidden="false" customHeight="false" outlineLevel="0" collapsed="false">
      <c r="A273" s="73"/>
    </row>
    <row r="274" customFormat="false" ht="13.5" hidden="false" customHeight="false" outlineLevel="0" collapsed="false">
      <c r="A274" s="73"/>
    </row>
    <row r="275" customFormat="false" ht="13.5" hidden="false" customHeight="false" outlineLevel="0" collapsed="false">
      <c r="A275" s="73"/>
    </row>
    <row r="276" customFormat="false" ht="13.5" hidden="false" customHeight="false" outlineLevel="0" collapsed="false">
      <c r="A276" s="73"/>
    </row>
    <row r="277" customFormat="false" ht="13.5" hidden="false" customHeight="false" outlineLevel="0" collapsed="false">
      <c r="A277" s="73"/>
    </row>
    <row r="278" customFormat="false" ht="13.5" hidden="false" customHeight="false" outlineLevel="0" collapsed="false">
      <c r="A278" s="73"/>
    </row>
    <row r="279" customFormat="false" ht="13.5" hidden="false" customHeight="false" outlineLevel="0" collapsed="false">
      <c r="A279" s="73"/>
    </row>
    <row r="280" customFormat="false" ht="13.5" hidden="false" customHeight="false" outlineLevel="0" collapsed="false">
      <c r="A280" s="73"/>
    </row>
    <row r="281" customFormat="false" ht="13.5" hidden="false" customHeight="false" outlineLevel="0" collapsed="false">
      <c r="A281" s="73"/>
    </row>
    <row r="282" customFormat="false" ht="13.5" hidden="false" customHeight="false" outlineLevel="0" collapsed="false">
      <c r="A282" s="73"/>
    </row>
    <row r="283" customFormat="false" ht="13.5" hidden="false" customHeight="false" outlineLevel="0" collapsed="false">
      <c r="A283" s="73"/>
    </row>
    <row r="284" customFormat="false" ht="13.5" hidden="false" customHeight="false" outlineLevel="0" collapsed="false">
      <c r="A284" s="73"/>
    </row>
    <row r="285" customFormat="false" ht="13.5" hidden="false" customHeight="false" outlineLevel="0" collapsed="false">
      <c r="A285" s="73"/>
    </row>
    <row r="286" customFormat="false" ht="13.5" hidden="false" customHeight="false" outlineLevel="0" collapsed="false">
      <c r="A286" s="73"/>
    </row>
    <row r="287" customFormat="false" ht="13.5" hidden="false" customHeight="false" outlineLevel="0" collapsed="false">
      <c r="A287" s="73"/>
    </row>
    <row r="288" customFormat="false" ht="13.5" hidden="false" customHeight="false" outlineLevel="0" collapsed="false">
      <c r="A288" s="73"/>
    </row>
    <row r="289" customFormat="false" ht="13.5" hidden="false" customHeight="false" outlineLevel="0" collapsed="false">
      <c r="A289" s="73"/>
    </row>
    <row r="290" customFormat="false" ht="13.5" hidden="false" customHeight="false" outlineLevel="0" collapsed="false">
      <c r="A290" s="73"/>
    </row>
    <row r="291" customFormat="false" ht="13.5" hidden="false" customHeight="false" outlineLevel="0" collapsed="false">
      <c r="A291" s="73"/>
    </row>
    <row r="292" customFormat="false" ht="13.5" hidden="false" customHeight="false" outlineLevel="0" collapsed="false">
      <c r="A292" s="73"/>
    </row>
    <row r="293" customFormat="false" ht="13.5" hidden="false" customHeight="false" outlineLevel="0" collapsed="false">
      <c r="A293" s="73"/>
    </row>
    <row r="294" customFormat="false" ht="13.5" hidden="false" customHeight="false" outlineLevel="0" collapsed="false">
      <c r="A294" s="73"/>
    </row>
    <row r="295" customFormat="false" ht="13.5" hidden="false" customHeight="false" outlineLevel="0" collapsed="false">
      <c r="A295" s="73"/>
    </row>
    <row r="296" customFormat="false" ht="13.5" hidden="false" customHeight="false" outlineLevel="0" collapsed="false">
      <c r="A296" s="73"/>
    </row>
    <row r="297" customFormat="false" ht="13.5" hidden="false" customHeight="false" outlineLevel="0" collapsed="false">
      <c r="A297" s="73"/>
    </row>
    <row r="298" customFormat="false" ht="13.5" hidden="false" customHeight="false" outlineLevel="0" collapsed="false">
      <c r="A298" s="73"/>
    </row>
    <row r="299" customFormat="false" ht="13.5" hidden="false" customHeight="false" outlineLevel="0" collapsed="false">
      <c r="A299" s="73"/>
    </row>
    <row r="300" customFormat="false" ht="13.5" hidden="false" customHeight="false" outlineLevel="0" collapsed="false">
      <c r="A300" s="73"/>
    </row>
    <row r="301" customFormat="false" ht="13.5" hidden="false" customHeight="false" outlineLevel="0" collapsed="false">
      <c r="A301" s="73"/>
    </row>
    <row r="302" customFormat="false" ht="13.5" hidden="false" customHeight="false" outlineLevel="0" collapsed="false">
      <c r="A302" s="73"/>
    </row>
    <row r="303" customFormat="false" ht="13.5" hidden="false" customHeight="false" outlineLevel="0" collapsed="false">
      <c r="A303" s="73"/>
    </row>
    <row r="304" customFormat="false" ht="13.5" hidden="false" customHeight="false" outlineLevel="0" collapsed="false">
      <c r="A304" s="73"/>
    </row>
    <row r="305" customFormat="false" ht="13.5" hidden="false" customHeight="false" outlineLevel="0" collapsed="false">
      <c r="A305" s="73"/>
    </row>
    <row r="306" customFormat="false" ht="13.5" hidden="false" customHeight="false" outlineLevel="0" collapsed="false">
      <c r="A306" s="73"/>
    </row>
    <row r="307" customFormat="false" ht="13.5" hidden="false" customHeight="false" outlineLevel="0" collapsed="false">
      <c r="A307" s="73"/>
    </row>
    <row r="308" customFormat="false" ht="13.5" hidden="false" customHeight="false" outlineLevel="0" collapsed="false">
      <c r="A308" s="73"/>
    </row>
    <row r="309" customFormat="false" ht="13.5" hidden="false" customHeight="false" outlineLevel="0" collapsed="false">
      <c r="A309" s="73"/>
    </row>
    <row r="310" customFormat="false" ht="13.5" hidden="false" customHeight="false" outlineLevel="0" collapsed="false">
      <c r="A310" s="73"/>
    </row>
    <row r="311" customFormat="false" ht="13.5" hidden="false" customHeight="false" outlineLevel="0" collapsed="false">
      <c r="A311" s="73"/>
    </row>
    <row r="312" customFormat="false" ht="13.5" hidden="false" customHeight="false" outlineLevel="0" collapsed="false">
      <c r="A312" s="73"/>
    </row>
    <row r="313" customFormat="false" ht="13.5" hidden="false" customHeight="false" outlineLevel="0" collapsed="false">
      <c r="A313" s="73"/>
    </row>
    <row r="314" customFormat="false" ht="13.5" hidden="false" customHeight="false" outlineLevel="0" collapsed="false">
      <c r="A314" s="73"/>
    </row>
    <row r="315" customFormat="false" ht="13.5" hidden="false" customHeight="false" outlineLevel="0" collapsed="false">
      <c r="A315" s="73"/>
    </row>
    <row r="316" customFormat="false" ht="13.5" hidden="false" customHeight="false" outlineLevel="0" collapsed="false">
      <c r="A316" s="73"/>
    </row>
    <row r="317" customFormat="false" ht="13.5" hidden="false" customHeight="false" outlineLevel="0" collapsed="false">
      <c r="A317" s="73"/>
    </row>
    <row r="318" customFormat="false" ht="13.5" hidden="false" customHeight="false" outlineLevel="0" collapsed="false">
      <c r="A318" s="73"/>
    </row>
    <row r="319" customFormat="false" ht="13.5" hidden="false" customHeight="false" outlineLevel="0" collapsed="false">
      <c r="A319" s="73"/>
    </row>
    <row r="320" customFormat="false" ht="13.5" hidden="false" customHeight="false" outlineLevel="0" collapsed="false">
      <c r="A320" s="73"/>
    </row>
    <row r="321" customFormat="false" ht="13.5" hidden="false" customHeight="false" outlineLevel="0" collapsed="false">
      <c r="A321" s="73"/>
    </row>
    <row r="322" customFormat="false" ht="13.5" hidden="false" customHeight="false" outlineLevel="0" collapsed="false">
      <c r="A322" s="73"/>
    </row>
    <row r="323" customFormat="false" ht="13.5" hidden="false" customHeight="false" outlineLevel="0" collapsed="false">
      <c r="A323" s="73"/>
    </row>
    <row r="324" customFormat="false" ht="13.5" hidden="false" customHeight="false" outlineLevel="0" collapsed="false">
      <c r="A324" s="73"/>
    </row>
    <row r="325" customFormat="false" ht="13.5" hidden="false" customHeight="false" outlineLevel="0" collapsed="false">
      <c r="A325" s="73"/>
    </row>
    <row r="326" customFormat="false" ht="13.5" hidden="false" customHeight="false" outlineLevel="0" collapsed="false">
      <c r="A326" s="73"/>
    </row>
    <row r="327" customFormat="false" ht="13.5" hidden="false" customHeight="false" outlineLevel="0" collapsed="false">
      <c r="A327" s="73"/>
    </row>
    <row r="328" customFormat="false" ht="13.5" hidden="false" customHeight="false" outlineLevel="0" collapsed="false">
      <c r="A328" s="73"/>
    </row>
    <row r="329" customFormat="false" ht="13.5" hidden="false" customHeight="false" outlineLevel="0" collapsed="false">
      <c r="A329" s="73"/>
    </row>
    <row r="330" customFormat="false" ht="13.5" hidden="false" customHeight="false" outlineLevel="0" collapsed="false">
      <c r="A330" s="73"/>
    </row>
    <row r="331" customFormat="false" ht="13.5" hidden="false" customHeight="false" outlineLevel="0" collapsed="false">
      <c r="A331" s="73"/>
    </row>
    <row r="332" customFormat="false" ht="13.5" hidden="false" customHeight="false" outlineLevel="0" collapsed="false">
      <c r="A332" s="73"/>
    </row>
    <row r="333" customFormat="false" ht="13.5" hidden="false" customHeight="false" outlineLevel="0" collapsed="false">
      <c r="A333" s="73"/>
    </row>
    <row r="334" customFormat="false" ht="13.5" hidden="false" customHeight="false" outlineLevel="0" collapsed="false">
      <c r="A334" s="73"/>
    </row>
    <row r="335" customFormat="false" ht="13.5" hidden="false" customHeight="false" outlineLevel="0" collapsed="false">
      <c r="A335" s="73"/>
    </row>
    <row r="336" customFormat="false" ht="13.5" hidden="false" customHeight="false" outlineLevel="0" collapsed="false">
      <c r="A336" s="73"/>
    </row>
    <row r="337" customFormat="false" ht="13.5" hidden="false" customHeight="false" outlineLevel="0" collapsed="false">
      <c r="A337" s="73"/>
    </row>
    <row r="338" customFormat="false" ht="13.5" hidden="false" customHeight="false" outlineLevel="0" collapsed="false">
      <c r="A338" s="73"/>
    </row>
    <row r="339" customFormat="false" ht="13.5" hidden="false" customHeight="false" outlineLevel="0" collapsed="false">
      <c r="A339" s="73"/>
    </row>
    <row r="340" customFormat="false" ht="13.5" hidden="false" customHeight="false" outlineLevel="0" collapsed="false">
      <c r="A340" s="73"/>
    </row>
    <row r="341" customFormat="false" ht="13.5" hidden="false" customHeight="false" outlineLevel="0" collapsed="false">
      <c r="A341" s="73"/>
    </row>
    <row r="342" customFormat="false" ht="13.5" hidden="false" customHeight="false" outlineLevel="0" collapsed="false">
      <c r="A342" s="73"/>
    </row>
    <row r="343" customFormat="false" ht="13.5" hidden="false" customHeight="false" outlineLevel="0" collapsed="false">
      <c r="A343" s="73"/>
    </row>
    <row r="344" customFormat="false" ht="13.5" hidden="false" customHeight="false" outlineLevel="0" collapsed="false">
      <c r="A344" s="73"/>
    </row>
    <row r="345" customFormat="false" ht="13.5" hidden="false" customHeight="false" outlineLevel="0" collapsed="false">
      <c r="A345" s="73"/>
    </row>
    <row r="346" customFormat="false" ht="13.5" hidden="false" customHeight="false" outlineLevel="0" collapsed="false">
      <c r="A346" s="73"/>
    </row>
    <row r="347" customFormat="false" ht="13.5" hidden="false" customHeight="false" outlineLevel="0" collapsed="false">
      <c r="A347" s="73"/>
    </row>
    <row r="348" customFormat="false" ht="13.5" hidden="false" customHeight="false" outlineLevel="0" collapsed="false">
      <c r="A348" s="73"/>
    </row>
    <row r="349" customFormat="false" ht="13.5" hidden="false" customHeight="false" outlineLevel="0" collapsed="false">
      <c r="A349" s="73"/>
    </row>
    <row r="350" customFormat="false" ht="13.5" hidden="false" customHeight="false" outlineLevel="0" collapsed="false">
      <c r="A350" s="73"/>
    </row>
    <row r="351" customFormat="false" ht="13.5" hidden="false" customHeight="false" outlineLevel="0" collapsed="false">
      <c r="A351" s="73"/>
    </row>
    <row r="352" customFormat="false" ht="13.5" hidden="false" customHeight="false" outlineLevel="0" collapsed="false">
      <c r="A352" s="73"/>
    </row>
    <row r="353" customFormat="false" ht="13.5" hidden="false" customHeight="false" outlineLevel="0" collapsed="false">
      <c r="A353" s="73"/>
    </row>
    <row r="354" customFormat="false" ht="13.5" hidden="false" customHeight="false" outlineLevel="0" collapsed="false">
      <c r="A354" s="73"/>
    </row>
    <row r="355" customFormat="false" ht="13.5" hidden="false" customHeight="false" outlineLevel="0" collapsed="false">
      <c r="A355" s="73"/>
    </row>
    <row r="356" customFormat="false" ht="13.5" hidden="false" customHeight="false" outlineLevel="0" collapsed="false">
      <c r="A356" s="73"/>
    </row>
    <row r="357" customFormat="false" ht="13.5" hidden="false" customHeight="false" outlineLevel="0" collapsed="false">
      <c r="A357" s="73"/>
    </row>
    <row r="358" customFormat="false" ht="13.5" hidden="false" customHeight="false" outlineLevel="0" collapsed="false">
      <c r="A358" s="73"/>
    </row>
    <row r="359" customFormat="false" ht="13.5" hidden="false" customHeight="false" outlineLevel="0" collapsed="false">
      <c r="A359" s="73"/>
    </row>
    <row r="360" customFormat="false" ht="13.5" hidden="false" customHeight="false" outlineLevel="0" collapsed="false">
      <c r="A360" s="73"/>
    </row>
    <row r="361" customFormat="false" ht="13.5" hidden="false" customHeight="false" outlineLevel="0" collapsed="false">
      <c r="A361" s="73"/>
    </row>
    <row r="362" customFormat="false" ht="13.5" hidden="false" customHeight="false" outlineLevel="0" collapsed="false">
      <c r="A362" s="73"/>
    </row>
    <row r="363" customFormat="false" ht="13.5" hidden="false" customHeight="false" outlineLevel="0" collapsed="false">
      <c r="A363" s="73"/>
    </row>
    <row r="364" customFormat="false" ht="13.5" hidden="false" customHeight="false" outlineLevel="0" collapsed="false">
      <c r="A364" s="73"/>
    </row>
    <row r="365" customFormat="false" ht="13.5" hidden="false" customHeight="false" outlineLevel="0" collapsed="false">
      <c r="A365" s="73"/>
    </row>
    <row r="366" customFormat="false" ht="13.5" hidden="false" customHeight="false" outlineLevel="0" collapsed="false">
      <c r="A366" s="73"/>
    </row>
    <row r="367" customFormat="false" ht="13.5" hidden="false" customHeight="false" outlineLevel="0" collapsed="false">
      <c r="A367" s="73"/>
    </row>
    <row r="368" customFormat="false" ht="13.5" hidden="false" customHeight="false" outlineLevel="0" collapsed="false">
      <c r="A368" s="73"/>
    </row>
    <row r="369" customFormat="false" ht="13.5" hidden="false" customHeight="false" outlineLevel="0" collapsed="false">
      <c r="A369" s="73"/>
    </row>
    <row r="370" customFormat="false" ht="13.5" hidden="false" customHeight="false" outlineLevel="0" collapsed="false">
      <c r="A370" s="73"/>
    </row>
    <row r="371" customFormat="false" ht="13.5" hidden="false" customHeight="false" outlineLevel="0" collapsed="false">
      <c r="A371" s="73"/>
    </row>
    <row r="372" customFormat="false" ht="13.5" hidden="false" customHeight="false" outlineLevel="0" collapsed="false">
      <c r="A372" s="73"/>
    </row>
    <row r="373" customFormat="false" ht="13.5" hidden="false" customHeight="false" outlineLevel="0" collapsed="false">
      <c r="A373" s="73"/>
    </row>
    <row r="374" customFormat="false" ht="13.5" hidden="false" customHeight="false" outlineLevel="0" collapsed="false">
      <c r="A374" s="73"/>
    </row>
    <row r="375" customFormat="false" ht="13.5" hidden="false" customHeight="false" outlineLevel="0" collapsed="false">
      <c r="A375" s="73"/>
    </row>
    <row r="376" customFormat="false" ht="13.5" hidden="false" customHeight="false" outlineLevel="0" collapsed="false">
      <c r="A376" s="73"/>
    </row>
    <row r="377" customFormat="false" ht="13.5" hidden="false" customHeight="false" outlineLevel="0" collapsed="false">
      <c r="A377" s="73"/>
    </row>
    <row r="378" customFormat="false" ht="13.5" hidden="false" customHeight="false" outlineLevel="0" collapsed="false">
      <c r="A378" s="73"/>
    </row>
    <row r="379" customFormat="false" ht="13.5" hidden="false" customHeight="false" outlineLevel="0" collapsed="false">
      <c r="A379" s="73"/>
    </row>
    <row r="380" customFormat="false" ht="13.5" hidden="false" customHeight="false" outlineLevel="0" collapsed="false">
      <c r="A380" s="73"/>
    </row>
    <row r="381" customFormat="false" ht="13.5" hidden="false" customHeight="false" outlineLevel="0" collapsed="false">
      <c r="A381" s="73"/>
    </row>
    <row r="382" customFormat="false" ht="13.5" hidden="false" customHeight="false" outlineLevel="0" collapsed="false">
      <c r="A382" s="73"/>
    </row>
    <row r="383" customFormat="false" ht="13.5" hidden="false" customHeight="false" outlineLevel="0" collapsed="false">
      <c r="A383" s="73"/>
    </row>
    <row r="384" customFormat="false" ht="13.5" hidden="false" customHeight="false" outlineLevel="0" collapsed="false">
      <c r="A384" s="73"/>
    </row>
    <row r="385" customFormat="false" ht="13.5" hidden="false" customHeight="false" outlineLevel="0" collapsed="false">
      <c r="A385" s="73"/>
    </row>
    <row r="386" customFormat="false" ht="13.5" hidden="false" customHeight="false" outlineLevel="0" collapsed="false">
      <c r="A386" s="73"/>
    </row>
    <row r="387" customFormat="false" ht="13.5" hidden="false" customHeight="false" outlineLevel="0" collapsed="false">
      <c r="A387" s="73"/>
    </row>
    <row r="388" customFormat="false" ht="13.5" hidden="false" customHeight="false" outlineLevel="0" collapsed="false">
      <c r="A388" s="73"/>
    </row>
    <row r="389" customFormat="false" ht="13.5" hidden="false" customHeight="false" outlineLevel="0" collapsed="false">
      <c r="A389" s="73"/>
    </row>
    <row r="390" customFormat="false" ht="13.5" hidden="false" customHeight="false" outlineLevel="0" collapsed="false">
      <c r="A390" s="73"/>
    </row>
    <row r="391" customFormat="false" ht="13.5" hidden="false" customHeight="false" outlineLevel="0" collapsed="false">
      <c r="A391" s="73"/>
    </row>
    <row r="392" customFormat="false" ht="13.5" hidden="false" customHeight="false" outlineLevel="0" collapsed="false">
      <c r="A392" s="73"/>
    </row>
    <row r="393" customFormat="false" ht="13.5" hidden="false" customHeight="false" outlineLevel="0" collapsed="false">
      <c r="A393" s="73"/>
    </row>
    <row r="394" customFormat="false" ht="13.5" hidden="false" customHeight="false" outlineLevel="0" collapsed="false">
      <c r="A394" s="73"/>
    </row>
    <row r="395" customFormat="false" ht="13.5" hidden="false" customHeight="false" outlineLevel="0" collapsed="false">
      <c r="A395" s="73"/>
    </row>
    <row r="396" customFormat="false" ht="13.5" hidden="false" customHeight="false" outlineLevel="0" collapsed="false">
      <c r="A396" s="73"/>
    </row>
    <row r="397" customFormat="false" ht="13.5" hidden="false" customHeight="false" outlineLevel="0" collapsed="false">
      <c r="A397" s="73"/>
    </row>
    <row r="398" customFormat="false" ht="13.5" hidden="false" customHeight="false" outlineLevel="0" collapsed="false">
      <c r="A398" s="73"/>
    </row>
    <row r="399" customFormat="false" ht="13.5" hidden="false" customHeight="false" outlineLevel="0" collapsed="false">
      <c r="A399" s="73"/>
    </row>
    <row r="400" customFormat="false" ht="13.5" hidden="false" customHeight="false" outlineLevel="0" collapsed="false">
      <c r="A400" s="73"/>
    </row>
    <row r="401" customFormat="false" ht="13.5" hidden="false" customHeight="false" outlineLevel="0" collapsed="false">
      <c r="A401" s="73"/>
    </row>
    <row r="402" customFormat="false" ht="13.5" hidden="false" customHeight="false" outlineLevel="0" collapsed="false">
      <c r="A402" s="73"/>
    </row>
    <row r="403" customFormat="false" ht="13.5" hidden="false" customHeight="false" outlineLevel="0" collapsed="false">
      <c r="A403" s="73"/>
    </row>
    <row r="404" customFormat="false" ht="13.5" hidden="false" customHeight="false" outlineLevel="0" collapsed="false">
      <c r="A404" s="73"/>
    </row>
    <row r="405" customFormat="false" ht="13.5" hidden="false" customHeight="false" outlineLevel="0" collapsed="false">
      <c r="A405" s="73"/>
    </row>
    <row r="406" customFormat="false" ht="13.5" hidden="false" customHeight="false" outlineLevel="0" collapsed="false">
      <c r="A406" s="73"/>
    </row>
    <row r="407" customFormat="false" ht="13.5" hidden="false" customHeight="false" outlineLevel="0" collapsed="false">
      <c r="A407" s="73"/>
    </row>
    <row r="408" customFormat="false" ht="13.5" hidden="false" customHeight="false" outlineLevel="0" collapsed="false">
      <c r="A408" s="73"/>
    </row>
    <row r="409" customFormat="false" ht="13.5" hidden="false" customHeight="false" outlineLevel="0" collapsed="false">
      <c r="A409" s="73"/>
    </row>
    <row r="410" customFormat="false" ht="13.5" hidden="false" customHeight="false" outlineLevel="0" collapsed="false">
      <c r="A410" s="73"/>
    </row>
    <row r="411" customFormat="false" ht="13.5" hidden="false" customHeight="false" outlineLevel="0" collapsed="false">
      <c r="A411" s="73"/>
    </row>
    <row r="412" customFormat="false" ht="13.5" hidden="false" customHeight="false" outlineLevel="0" collapsed="false">
      <c r="A412" s="73"/>
    </row>
    <row r="413" customFormat="false" ht="13.5" hidden="false" customHeight="false" outlineLevel="0" collapsed="false">
      <c r="A413" s="73"/>
    </row>
    <row r="414" customFormat="false" ht="13.5" hidden="false" customHeight="false" outlineLevel="0" collapsed="false">
      <c r="A414" s="73"/>
    </row>
    <row r="415" customFormat="false" ht="13.5" hidden="false" customHeight="false" outlineLevel="0" collapsed="false">
      <c r="A415" s="73"/>
    </row>
    <row r="416" customFormat="false" ht="13.5" hidden="false" customHeight="false" outlineLevel="0" collapsed="false">
      <c r="A416" s="73"/>
    </row>
    <row r="417" customFormat="false" ht="13.5" hidden="false" customHeight="false" outlineLevel="0" collapsed="false">
      <c r="A417" s="73"/>
    </row>
    <row r="418" customFormat="false" ht="13.5" hidden="false" customHeight="false" outlineLevel="0" collapsed="false">
      <c r="A418" s="73"/>
    </row>
    <row r="419" customFormat="false" ht="13.5" hidden="false" customHeight="false" outlineLevel="0" collapsed="false">
      <c r="A419" s="73"/>
    </row>
    <row r="420" customFormat="false" ht="13.5" hidden="false" customHeight="false" outlineLevel="0" collapsed="false">
      <c r="A420" s="73"/>
    </row>
    <row r="421" customFormat="false" ht="13.5" hidden="false" customHeight="false" outlineLevel="0" collapsed="false">
      <c r="A421" s="73"/>
    </row>
    <row r="422" customFormat="false" ht="13.5" hidden="false" customHeight="false" outlineLevel="0" collapsed="false">
      <c r="A422" s="73"/>
    </row>
    <row r="423" customFormat="false" ht="13.5" hidden="false" customHeight="false" outlineLevel="0" collapsed="false">
      <c r="A423" s="73"/>
    </row>
    <row r="424" customFormat="false" ht="13.5" hidden="false" customHeight="false" outlineLevel="0" collapsed="false">
      <c r="A424" s="73"/>
    </row>
    <row r="425" customFormat="false" ht="13.5" hidden="false" customHeight="false" outlineLevel="0" collapsed="false">
      <c r="A425" s="73"/>
    </row>
    <row r="426" customFormat="false" ht="13.5" hidden="false" customHeight="false" outlineLevel="0" collapsed="false">
      <c r="A426" s="73"/>
    </row>
    <row r="427" customFormat="false" ht="13.5" hidden="false" customHeight="false" outlineLevel="0" collapsed="false">
      <c r="A427" s="73"/>
    </row>
    <row r="428" customFormat="false" ht="13.5" hidden="false" customHeight="false" outlineLevel="0" collapsed="false">
      <c r="A428" s="73"/>
    </row>
    <row r="429" customFormat="false" ht="13.5" hidden="false" customHeight="false" outlineLevel="0" collapsed="false">
      <c r="A429" s="73"/>
    </row>
    <row r="430" customFormat="false" ht="13.5" hidden="false" customHeight="false" outlineLevel="0" collapsed="false">
      <c r="A430" s="73"/>
    </row>
    <row r="431" customFormat="false" ht="13.5" hidden="false" customHeight="false" outlineLevel="0" collapsed="false">
      <c r="A431" s="73"/>
    </row>
    <row r="432" customFormat="false" ht="13.5" hidden="false" customHeight="false" outlineLevel="0" collapsed="false">
      <c r="A432" s="73"/>
    </row>
    <row r="433" customFormat="false" ht="13.5" hidden="false" customHeight="false" outlineLevel="0" collapsed="false">
      <c r="A433" s="73"/>
    </row>
    <row r="434" customFormat="false" ht="13.5" hidden="false" customHeight="false" outlineLevel="0" collapsed="false">
      <c r="A434" s="73"/>
    </row>
    <row r="435" customFormat="false" ht="13.5" hidden="false" customHeight="false" outlineLevel="0" collapsed="false">
      <c r="A435" s="73"/>
    </row>
    <row r="436" customFormat="false" ht="13.5" hidden="false" customHeight="false" outlineLevel="0" collapsed="false">
      <c r="A436" s="73"/>
    </row>
    <row r="437" customFormat="false" ht="13.5" hidden="false" customHeight="false" outlineLevel="0" collapsed="false">
      <c r="A437" s="73"/>
    </row>
    <row r="438" customFormat="false" ht="13.5" hidden="false" customHeight="false" outlineLevel="0" collapsed="false">
      <c r="A438" s="73"/>
    </row>
    <row r="439" customFormat="false" ht="13.5" hidden="false" customHeight="false" outlineLevel="0" collapsed="false">
      <c r="A439" s="73"/>
    </row>
    <row r="440" customFormat="false" ht="13.5" hidden="false" customHeight="false" outlineLevel="0" collapsed="false">
      <c r="A440" s="73"/>
    </row>
    <row r="441" customFormat="false" ht="13.5" hidden="false" customHeight="false" outlineLevel="0" collapsed="false">
      <c r="A441" s="73"/>
    </row>
    <row r="442" customFormat="false" ht="13.5" hidden="false" customHeight="false" outlineLevel="0" collapsed="false">
      <c r="A442" s="73"/>
    </row>
    <row r="443" customFormat="false" ht="13.5" hidden="false" customHeight="false" outlineLevel="0" collapsed="false">
      <c r="A443" s="73"/>
    </row>
    <row r="444" customFormat="false" ht="13.5" hidden="false" customHeight="false" outlineLevel="0" collapsed="false">
      <c r="A444" s="73"/>
    </row>
    <row r="445" customFormat="false" ht="13.5" hidden="false" customHeight="false" outlineLevel="0" collapsed="false">
      <c r="A445" s="73"/>
    </row>
    <row r="446" customFormat="false" ht="13.5" hidden="false" customHeight="false" outlineLevel="0" collapsed="false">
      <c r="A446" s="73"/>
    </row>
    <row r="447" customFormat="false" ht="13.5" hidden="false" customHeight="false" outlineLevel="0" collapsed="false">
      <c r="A447" s="73"/>
    </row>
    <row r="448" customFormat="false" ht="13.5" hidden="false" customHeight="false" outlineLevel="0" collapsed="false">
      <c r="A448" s="73"/>
    </row>
    <row r="449" customFormat="false" ht="13.5" hidden="false" customHeight="false" outlineLevel="0" collapsed="false">
      <c r="A449" s="73"/>
    </row>
    <row r="450" customFormat="false" ht="13.5" hidden="false" customHeight="false" outlineLevel="0" collapsed="false">
      <c r="A450" s="73"/>
    </row>
    <row r="451" customFormat="false" ht="13.5" hidden="false" customHeight="false" outlineLevel="0" collapsed="false">
      <c r="A451" s="73"/>
    </row>
    <row r="452" customFormat="false" ht="13.5" hidden="false" customHeight="false" outlineLevel="0" collapsed="false">
      <c r="A452" s="73"/>
    </row>
    <row r="453" customFormat="false" ht="13.5" hidden="false" customHeight="false" outlineLevel="0" collapsed="false">
      <c r="A453" s="73"/>
    </row>
    <row r="454" customFormat="false" ht="13.5" hidden="false" customHeight="false" outlineLevel="0" collapsed="false">
      <c r="A454" s="73"/>
    </row>
    <row r="455" customFormat="false" ht="13.5" hidden="false" customHeight="false" outlineLevel="0" collapsed="false">
      <c r="A455" s="73"/>
    </row>
    <row r="456" customFormat="false" ht="13.5" hidden="false" customHeight="false" outlineLevel="0" collapsed="false">
      <c r="A456" s="73"/>
    </row>
    <row r="457" customFormat="false" ht="13.5" hidden="false" customHeight="false" outlineLevel="0" collapsed="false">
      <c r="A457" s="73"/>
    </row>
    <row r="458" customFormat="false" ht="13.5" hidden="false" customHeight="false" outlineLevel="0" collapsed="false">
      <c r="A458" s="73"/>
    </row>
    <row r="459" customFormat="false" ht="13.5" hidden="false" customHeight="false" outlineLevel="0" collapsed="false">
      <c r="A459" s="73"/>
    </row>
    <row r="460" customFormat="false" ht="13.5" hidden="false" customHeight="false" outlineLevel="0" collapsed="false">
      <c r="A460" s="73"/>
    </row>
    <row r="461" customFormat="false" ht="13.5" hidden="false" customHeight="false" outlineLevel="0" collapsed="false">
      <c r="A461" s="73"/>
    </row>
    <row r="462" customFormat="false" ht="13.5" hidden="false" customHeight="false" outlineLevel="0" collapsed="false">
      <c r="A462" s="73"/>
    </row>
    <row r="463" customFormat="false" ht="13.5" hidden="false" customHeight="false" outlineLevel="0" collapsed="false">
      <c r="A463" s="73"/>
    </row>
    <row r="464" customFormat="false" ht="13.5" hidden="false" customHeight="false" outlineLevel="0" collapsed="false">
      <c r="A464" s="73"/>
    </row>
    <row r="465" customFormat="false" ht="13.5" hidden="false" customHeight="false" outlineLevel="0" collapsed="false">
      <c r="A465" s="73"/>
    </row>
    <row r="466" customFormat="false" ht="13.5" hidden="false" customHeight="false" outlineLevel="0" collapsed="false">
      <c r="A466" s="73"/>
    </row>
    <row r="467" customFormat="false" ht="13.5" hidden="false" customHeight="false" outlineLevel="0" collapsed="false">
      <c r="A467" s="73"/>
    </row>
    <row r="468" customFormat="false" ht="13.5" hidden="false" customHeight="false" outlineLevel="0" collapsed="false">
      <c r="A468" s="73"/>
    </row>
    <row r="469" customFormat="false" ht="13.5" hidden="false" customHeight="false" outlineLevel="0" collapsed="false">
      <c r="A469" s="73"/>
    </row>
    <row r="470" customFormat="false" ht="13.5" hidden="false" customHeight="false" outlineLevel="0" collapsed="false">
      <c r="A470" s="73"/>
    </row>
    <row r="471" customFormat="false" ht="13.5" hidden="false" customHeight="false" outlineLevel="0" collapsed="false">
      <c r="A471" s="73"/>
    </row>
    <row r="472" customFormat="false" ht="13.5" hidden="false" customHeight="false" outlineLevel="0" collapsed="false">
      <c r="A472" s="73"/>
    </row>
    <row r="473" customFormat="false" ht="13.5" hidden="false" customHeight="false" outlineLevel="0" collapsed="false">
      <c r="A473" s="73"/>
    </row>
    <row r="474" customFormat="false" ht="13.5" hidden="false" customHeight="false" outlineLevel="0" collapsed="false">
      <c r="A474" s="73"/>
    </row>
    <row r="475" customFormat="false" ht="13.5" hidden="false" customHeight="false" outlineLevel="0" collapsed="false">
      <c r="A475" s="73"/>
    </row>
    <row r="476" customFormat="false" ht="13.5" hidden="false" customHeight="false" outlineLevel="0" collapsed="false">
      <c r="A476" s="73"/>
    </row>
    <row r="477" customFormat="false" ht="13.5" hidden="false" customHeight="false" outlineLevel="0" collapsed="false">
      <c r="A477" s="73"/>
    </row>
    <row r="478" customFormat="false" ht="13.5" hidden="false" customHeight="false" outlineLevel="0" collapsed="false">
      <c r="A478" s="73"/>
    </row>
    <row r="479" customFormat="false" ht="13.5" hidden="false" customHeight="false" outlineLevel="0" collapsed="false">
      <c r="A479" s="73"/>
    </row>
    <row r="480" customFormat="false" ht="13.5" hidden="false" customHeight="false" outlineLevel="0" collapsed="false">
      <c r="A480" s="73"/>
    </row>
    <row r="481" customFormat="false" ht="13.5" hidden="false" customHeight="false" outlineLevel="0" collapsed="false">
      <c r="A481" s="73"/>
    </row>
    <row r="482" customFormat="false" ht="13.5" hidden="false" customHeight="false" outlineLevel="0" collapsed="false">
      <c r="A482" s="73"/>
    </row>
    <row r="483" customFormat="false" ht="13.5" hidden="false" customHeight="false" outlineLevel="0" collapsed="false">
      <c r="A483" s="73"/>
    </row>
    <row r="484" customFormat="false" ht="13.5" hidden="false" customHeight="false" outlineLevel="0" collapsed="false">
      <c r="A484" s="73"/>
    </row>
    <row r="485" customFormat="false" ht="13.5" hidden="false" customHeight="false" outlineLevel="0" collapsed="false">
      <c r="A485" s="73"/>
    </row>
    <row r="486" customFormat="false" ht="13.5" hidden="false" customHeight="false" outlineLevel="0" collapsed="false">
      <c r="A486" s="73"/>
    </row>
    <row r="487" customFormat="false" ht="13.5" hidden="false" customHeight="false" outlineLevel="0" collapsed="false">
      <c r="A487" s="73"/>
    </row>
    <row r="488" customFormat="false" ht="13.5" hidden="false" customHeight="false" outlineLevel="0" collapsed="false">
      <c r="A488" s="73"/>
    </row>
    <row r="489" customFormat="false" ht="13.5" hidden="false" customHeight="false" outlineLevel="0" collapsed="false">
      <c r="A489" s="73"/>
    </row>
    <row r="490" customFormat="false" ht="13.5" hidden="false" customHeight="false" outlineLevel="0" collapsed="false">
      <c r="A490" s="73"/>
    </row>
    <row r="491" customFormat="false" ht="13.5" hidden="false" customHeight="false" outlineLevel="0" collapsed="false">
      <c r="A491" s="73"/>
    </row>
    <row r="492" customFormat="false" ht="13.5" hidden="false" customHeight="false" outlineLevel="0" collapsed="false">
      <c r="A492" s="73"/>
    </row>
    <row r="493" customFormat="false" ht="13.5" hidden="false" customHeight="false" outlineLevel="0" collapsed="false">
      <c r="A493" s="73"/>
    </row>
    <row r="494" customFormat="false" ht="13.5" hidden="false" customHeight="false" outlineLevel="0" collapsed="false">
      <c r="A494" s="73"/>
    </row>
    <row r="495" customFormat="false" ht="13.5" hidden="false" customHeight="false" outlineLevel="0" collapsed="false">
      <c r="A495" s="73"/>
    </row>
    <row r="496" customFormat="false" ht="13.5" hidden="false" customHeight="false" outlineLevel="0" collapsed="false">
      <c r="A496" s="73"/>
    </row>
    <row r="497" customFormat="false" ht="13.5" hidden="false" customHeight="false" outlineLevel="0" collapsed="false">
      <c r="A497" s="73"/>
    </row>
    <row r="498" customFormat="false" ht="13.5" hidden="false" customHeight="false" outlineLevel="0" collapsed="false">
      <c r="A498" s="73"/>
    </row>
    <row r="499" customFormat="false" ht="13.5" hidden="false" customHeight="false" outlineLevel="0" collapsed="false">
      <c r="A499" s="73"/>
    </row>
    <row r="500" customFormat="false" ht="13.5" hidden="false" customHeight="false" outlineLevel="0" collapsed="false">
      <c r="A500" s="73"/>
    </row>
    <row r="501" customFormat="false" ht="13.5" hidden="false" customHeight="false" outlineLevel="0" collapsed="false">
      <c r="A501" s="73"/>
    </row>
    <row r="502" customFormat="false" ht="13.5" hidden="false" customHeight="false" outlineLevel="0" collapsed="false">
      <c r="A502" s="73"/>
    </row>
    <row r="503" customFormat="false" ht="13.5" hidden="false" customHeight="false" outlineLevel="0" collapsed="false">
      <c r="A503" s="73"/>
    </row>
    <row r="504" customFormat="false" ht="13.5" hidden="false" customHeight="false" outlineLevel="0" collapsed="false">
      <c r="A504" s="73"/>
    </row>
    <row r="505" customFormat="false" ht="13.5" hidden="false" customHeight="false" outlineLevel="0" collapsed="false">
      <c r="A505" s="73"/>
    </row>
    <row r="506" customFormat="false" ht="13.5" hidden="false" customHeight="false" outlineLevel="0" collapsed="false">
      <c r="A506" s="73"/>
    </row>
    <row r="507" customFormat="false" ht="13.5" hidden="false" customHeight="false" outlineLevel="0" collapsed="false">
      <c r="A507" s="73"/>
    </row>
    <row r="508" customFormat="false" ht="13.5" hidden="false" customHeight="false" outlineLevel="0" collapsed="false">
      <c r="A508" s="73"/>
    </row>
    <row r="509" customFormat="false" ht="13.5" hidden="false" customHeight="false" outlineLevel="0" collapsed="false">
      <c r="A509" s="73"/>
    </row>
    <row r="510" customFormat="false" ht="13.5" hidden="false" customHeight="false" outlineLevel="0" collapsed="false">
      <c r="A510" s="73"/>
    </row>
    <row r="511" customFormat="false" ht="13.5" hidden="false" customHeight="false" outlineLevel="0" collapsed="false">
      <c r="A511" s="73"/>
    </row>
    <row r="512" customFormat="false" ht="13.5" hidden="false" customHeight="false" outlineLevel="0" collapsed="false">
      <c r="A512" s="73"/>
    </row>
    <row r="513" customFormat="false" ht="13.5" hidden="false" customHeight="false" outlineLevel="0" collapsed="false">
      <c r="A513" s="73"/>
    </row>
    <row r="514" customFormat="false" ht="13.5" hidden="false" customHeight="false" outlineLevel="0" collapsed="false">
      <c r="A514" s="73"/>
    </row>
    <row r="515" customFormat="false" ht="13.5" hidden="false" customHeight="false" outlineLevel="0" collapsed="false">
      <c r="A515" s="73"/>
    </row>
    <row r="516" customFormat="false" ht="13.5" hidden="false" customHeight="false" outlineLevel="0" collapsed="false">
      <c r="A516" s="73"/>
    </row>
    <row r="517" customFormat="false" ht="13.5" hidden="false" customHeight="false" outlineLevel="0" collapsed="false">
      <c r="A517" s="73"/>
    </row>
    <row r="518" customFormat="false" ht="13.5" hidden="false" customHeight="false" outlineLevel="0" collapsed="false">
      <c r="A518" s="73"/>
    </row>
    <row r="519" customFormat="false" ht="13.5" hidden="false" customHeight="false" outlineLevel="0" collapsed="false">
      <c r="A519" s="73"/>
    </row>
    <row r="520" customFormat="false" ht="13.5" hidden="false" customHeight="false" outlineLevel="0" collapsed="false">
      <c r="A520" s="73"/>
    </row>
    <row r="521" customFormat="false" ht="13.5" hidden="false" customHeight="false" outlineLevel="0" collapsed="false">
      <c r="A521" s="73"/>
    </row>
    <row r="522" customFormat="false" ht="13.5" hidden="false" customHeight="false" outlineLevel="0" collapsed="false">
      <c r="A522" s="73"/>
    </row>
    <row r="523" customFormat="false" ht="13.5" hidden="false" customHeight="false" outlineLevel="0" collapsed="false">
      <c r="A523" s="73"/>
    </row>
    <row r="524" customFormat="false" ht="13.5" hidden="false" customHeight="false" outlineLevel="0" collapsed="false">
      <c r="A524" s="73"/>
    </row>
    <row r="525" customFormat="false" ht="13.5" hidden="false" customHeight="false" outlineLevel="0" collapsed="false">
      <c r="A525" s="73"/>
    </row>
    <row r="526" customFormat="false" ht="13.5" hidden="false" customHeight="false" outlineLevel="0" collapsed="false">
      <c r="A526" s="73"/>
    </row>
    <row r="527" customFormat="false" ht="13.5" hidden="false" customHeight="false" outlineLevel="0" collapsed="false">
      <c r="A527" s="73"/>
    </row>
    <row r="528" customFormat="false" ht="13.5" hidden="false" customHeight="false" outlineLevel="0" collapsed="false">
      <c r="A528" s="73"/>
    </row>
    <row r="529" customFormat="false" ht="13.5" hidden="false" customHeight="false" outlineLevel="0" collapsed="false">
      <c r="A529" s="73"/>
    </row>
    <row r="530" customFormat="false" ht="13.5" hidden="false" customHeight="false" outlineLevel="0" collapsed="false">
      <c r="A530" s="73"/>
    </row>
    <row r="531" customFormat="false" ht="13.5" hidden="false" customHeight="false" outlineLevel="0" collapsed="false">
      <c r="A531" s="73"/>
    </row>
    <row r="532" customFormat="false" ht="13.5" hidden="false" customHeight="false" outlineLevel="0" collapsed="false">
      <c r="A532" s="73"/>
    </row>
    <row r="533" customFormat="false" ht="13.5" hidden="false" customHeight="false" outlineLevel="0" collapsed="false">
      <c r="A533" s="73"/>
    </row>
    <row r="534" customFormat="false" ht="13.5" hidden="false" customHeight="false" outlineLevel="0" collapsed="false">
      <c r="A534" s="73"/>
    </row>
    <row r="535" customFormat="false" ht="13.5" hidden="false" customHeight="false" outlineLevel="0" collapsed="false">
      <c r="A535" s="73"/>
    </row>
    <row r="536" customFormat="false" ht="13.5" hidden="false" customHeight="false" outlineLevel="0" collapsed="false">
      <c r="A536" s="73"/>
    </row>
    <row r="537" customFormat="false" ht="13.5" hidden="false" customHeight="false" outlineLevel="0" collapsed="false">
      <c r="A537" s="73"/>
    </row>
    <row r="538" customFormat="false" ht="13.5" hidden="false" customHeight="false" outlineLevel="0" collapsed="false">
      <c r="A538" s="73"/>
    </row>
    <row r="539" customFormat="false" ht="13.5" hidden="false" customHeight="false" outlineLevel="0" collapsed="false">
      <c r="A539" s="73"/>
    </row>
    <row r="540" customFormat="false" ht="13.5" hidden="false" customHeight="false" outlineLevel="0" collapsed="false">
      <c r="A540" s="73"/>
    </row>
    <row r="541" customFormat="false" ht="13.5" hidden="false" customHeight="false" outlineLevel="0" collapsed="false">
      <c r="A541" s="73"/>
    </row>
    <row r="542" customFormat="false" ht="13.5" hidden="false" customHeight="false" outlineLevel="0" collapsed="false">
      <c r="A542" s="73"/>
    </row>
    <row r="543" customFormat="false" ht="13.5" hidden="false" customHeight="false" outlineLevel="0" collapsed="false">
      <c r="A543" s="73"/>
    </row>
    <row r="544" customFormat="false" ht="13.5" hidden="false" customHeight="false" outlineLevel="0" collapsed="false">
      <c r="A544" s="73"/>
    </row>
    <row r="545" customFormat="false" ht="13.5" hidden="false" customHeight="false" outlineLevel="0" collapsed="false">
      <c r="A545" s="73"/>
    </row>
    <row r="546" customFormat="false" ht="13.5" hidden="false" customHeight="false" outlineLevel="0" collapsed="false">
      <c r="A546" s="73"/>
    </row>
    <row r="547" customFormat="false" ht="13.5" hidden="false" customHeight="false" outlineLevel="0" collapsed="false">
      <c r="A547" s="73"/>
    </row>
    <row r="548" customFormat="false" ht="13.5" hidden="false" customHeight="false" outlineLevel="0" collapsed="false">
      <c r="A548" s="73"/>
    </row>
    <row r="549" customFormat="false" ht="13.5" hidden="false" customHeight="false" outlineLevel="0" collapsed="false">
      <c r="A549" s="73"/>
    </row>
    <row r="550" customFormat="false" ht="13.5" hidden="false" customHeight="false" outlineLevel="0" collapsed="false">
      <c r="A550" s="73"/>
    </row>
    <row r="551" customFormat="false" ht="13.5" hidden="false" customHeight="false" outlineLevel="0" collapsed="false">
      <c r="A551" s="73"/>
    </row>
    <row r="552" customFormat="false" ht="13.5" hidden="false" customHeight="false" outlineLevel="0" collapsed="false">
      <c r="A552" s="73"/>
    </row>
    <row r="553" customFormat="false" ht="13.5" hidden="false" customHeight="false" outlineLevel="0" collapsed="false">
      <c r="A553" s="73"/>
    </row>
    <row r="554" customFormat="false" ht="13.5" hidden="false" customHeight="false" outlineLevel="0" collapsed="false">
      <c r="A554" s="73"/>
    </row>
    <row r="555" customFormat="false" ht="13.5" hidden="false" customHeight="false" outlineLevel="0" collapsed="false">
      <c r="A555" s="73"/>
    </row>
    <row r="556" customFormat="false" ht="13.5" hidden="false" customHeight="false" outlineLevel="0" collapsed="false">
      <c r="A556" s="73"/>
    </row>
    <row r="557" customFormat="false" ht="13.5" hidden="false" customHeight="false" outlineLevel="0" collapsed="false">
      <c r="A557" s="73"/>
    </row>
    <row r="558" customFormat="false" ht="13.5" hidden="false" customHeight="false" outlineLevel="0" collapsed="false">
      <c r="A558" s="73"/>
    </row>
    <row r="559" customFormat="false" ht="13.5" hidden="false" customHeight="false" outlineLevel="0" collapsed="false">
      <c r="A559" s="73"/>
    </row>
    <row r="560" customFormat="false" ht="13.5" hidden="false" customHeight="false" outlineLevel="0" collapsed="false">
      <c r="A560" s="73"/>
    </row>
    <row r="561" customFormat="false" ht="13.5" hidden="false" customHeight="false" outlineLevel="0" collapsed="false">
      <c r="A561" s="73"/>
    </row>
    <row r="562" customFormat="false" ht="13.5" hidden="false" customHeight="false" outlineLevel="0" collapsed="false">
      <c r="A562" s="73"/>
    </row>
    <row r="563" customFormat="false" ht="13.5" hidden="false" customHeight="false" outlineLevel="0" collapsed="false">
      <c r="A563" s="73"/>
    </row>
    <row r="564" customFormat="false" ht="13.5" hidden="false" customHeight="false" outlineLevel="0" collapsed="false">
      <c r="A564" s="73"/>
    </row>
    <row r="565" customFormat="false" ht="13.5" hidden="false" customHeight="false" outlineLevel="0" collapsed="false">
      <c r="A565" s="73"/>
    </row>
    <row r="566" customFormat="false" ht="13.5" hidden="false" customHeight="false" outlineLevel="0" collapsed="false">
      <c r="A566" s="73"/>
    </row>
    <row r="567" customFormat="false" ht="13.5" hidden="false" customHeight="false" outlineLevel="0" collapsed="false">
      <c r="A567" s="73"/>
    </row>
    <row r="568" customFormat="false" ht="13.5" hidden="false" customHeight="false" outlineLevel="0" collapsed="false">
      <c r="A568" s="73"/>
    </row>
    <row r="569" customFormat="false" ht="13.5" hidden="false" customHeight="false" outlineLevel="0" collapsed="false">
      <c r="A569" s="73"/>
    </row>
  </sheetData>
  <mergeCells count="16">
    <mergeCell ref="E2:J2"/>
    <mergeCell ref="L2:P2"/>
    <mergeCell ref="A3:A4"/>
    <mergeCell ref="B3:B4"/>
    <mergeCell ref="C3:C4"/>
    <mergeCell ref="E3:E4"/>
    <mergeCell ref="F3:F4"/>
    <mergeCell ref="G3:G4"/>
    <mergeCell ref="H3:H4"/>
    <mergeCell ref="I3:I4"/>
    <mergeCell ref="J3:J4"/>
    <mergeCell ref="L3:L4"/>
    <mergeCell ref="M3:M4"/>
    <mergeCell ref="N3:N4"/>
    <mergeCell ref="O3:O4"/>
    <mergeCell ref="P3:P4"/>
  </mergeCells>
  <dataValidations count="1">
    <dataValidation allowBlank="true" error="NUMERO DE CARACTERES É MAIOR QUE O PERMITIDO" errorStyle="stop" errorTitle="ATENÇÃO" operator="lessThan" showDropDown="false" showErrorMessage="true" showInputMessage="false" sqref="A9:D9 A22:D22 A29:D29 A34:B34" type="textLength">
      <formula1>37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EF2CD"/>
    <pageSetUpPr fitToPage="true"/>
  </sheetPr>
  <dimension ref="A1:O50"/>
  <sheetViews>
    <sheetView showFormulas="false" showGridLines="true" showRowColHeaders="true" showZeros="true" rightToLeft="false" tabSelected="false" showOutlineSymbols="true" defaultGridColor="true" view="normal" topLeftCell="A34" colorId="64" zoomScale="100" zoomScaleNormal="100" zoomScalePageLayoutView="100" workbookViewId="0">
      <selection pane="topLeft" activeCell="A40" activeCellId="0" sqref="A2:J52"/>
    </sheetView>
  </sheetViews>
  <sheetFormatPr defaultColWidth="9.109375" defaultRowHeight="13.5" zeroHeight="false" outlineLevelRow="0" outlineLevelCol="0"/>
  <cols>
    <col collapsed="false" customWidth="true" hidden="false" outlineLevel="0" max="1" min="1" style="117" width="11.67"/>
    <col collapsed="false" customWidth="true" hidden="false" outlineLevel="0" max="2" min="2" style="118" width="38.11"/>
    <col collapsed="false" customWidth="true" hidden="false" outlineLevel="0" max="3" min="3" style="117" width="15.44"/>
    <col collapsed="false" customWidth="true" hidden="false" outlineLevel="0" max="4" min="4" style="117" width="13.56"/>
    <col collapsed="false" customWidth="true" hidden="false" outlineLevel="0" max="5" min="5" style="119" width="13"/>
    <col collapsed="false" customWidth="true" hidden="false" outlineLevel="0" max="6" min="6" style="120" width="12.88"/>
    <col collapsed="false" customWidth="true" hidden="false" outlineLevel="0" max="7" min="7" style="121" width="14.11"/>
    <col collapsed="false" customWidth="true" hidden="false" outlineLevel="0" max="8" min="8" style="117" width="14.56"/>
    <col collapsed="false" customWidth="true" hidden="false" outlineLevel="0" max="10" min="9" style="117" width="14.44"/>
    <col collapsed="false" customWidth="true" hidden="false" outlineLevel="0" max="11" min="11" style="118" width="13.34"/>
    <col collapsed="false" customWidth="true" hidden="false" outlineLevel="0" max="12" min="12" style="117" width="13.34"/>
    <col collapsed="false" customWidth="true" hidden="false" outlineLevel="0" max="13" min="13" style="118" width="13.34"/>
    <col collapsed="false" customWidth="true" hidden="false" outlineLevel="0" max="14" min="14" style="117" width="13.34"/>
    <col collapsed="false" customWidth="true" hidden="false" outlineLevel="0" max="15" min="15" style="122" width="1.44"/>
    <col collapsed="false" customWidth="false" hidden="false" outlineLevel="0" max="16384" min="16" style="122" width="9.11"/>
  </cols>
  <sheetData>
    <row r="1" customFormat="false" ht="83.25" hidden="false" customHeight="true" outlineLevel="0" collapsed="false">
      <c r="A1" s="123" t="s">
        <v>177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4"/>
    </row>
    <row r="2" s="130" customFormat="true" ht="39.55" hidden="false" customHeight="false" outlineLevel="0" collapsed="false">
      <c r="A2" s="125" t="s">
        <v>164</v>
      </c>
      <c r="B2" s="126" t="s">
        <v>178</v>
      </c>
      <c r="C2" s="126" t="s">
        <v>179</v>
      </c>
      <c r="D2" s="127" t="s">
        <v>180</v>
      </c>
      <c r="E2" s="128" t="s">
        <v>181</v>
      </c>
      <c r="F2" s="128" t="s">
        <v>182</v>
      </c>
      <c r="G2" s="126" t="s">
        <v>183</v>
      </c>
      <c r="H2" s="126" t="s">
        <v>184</v>
      </c>
      <c r="I2" s="126" t="s">
        <v>185</v>
      </c>
      <c r="J2" s="126" t="s">
        <v>186</v>
      </c>
      <c r="K2" s="128" t="s">
        <v>187</v>
      </c>
      <c r="L2" s="128" t="s">
        <v>188</v>
      </c>
      <c r="M2" s="128" t="s">
        <v>189</v>
      </c>
      <c r="N2" s="128" t="s">
        <v>190</v>
      </c>
      <c r="O2" s="129" t="n">
        <v>0.0025</v>
      </c>
    </row>
    <row r="3" customFormat="false" ht="13.5" hidden="false" customHeight="false" outlineLevel="0" collapsed="false">
      <c r="A3" s="131"/>
      <c r="B3" s="131"/>
      <c r="C3" s="131"/>
      <c r="D3" s="131"/>
      <c r="E3" s="132"/>
      <c r="F3" s="131"/>
      <c r="G3" s="131"/>
      <c r="H3" s="131"/>
      <c r="I3" s="131"/>
      <c r="J3" s="131"/>
      <c r="K3" s="131"/>
      <c r="L3" s="131"/>
      <c r="M3" s="131"/>
      <c r="N3" s="133"/>
    </row>
    <row r="4" s="141" customFormat="true" ht="21.75" hidden="false" customHeight="true" outlineLevel="0" collapsed="false">
      <c r="A4" s="134" t="n">
        <v>9645</v>
      </c>
      <c r="B4" s="135" t="s">
        <v>191</v>
      </c>
      <c r="C4" s="136" t="s">
        <v>192</v>
      </c>
      <c r="D4" s="137" t="n">
        <v>12</v>
      </c>
      <c r="E4" s="138" t="n">
        <f aca="false">VLOOKUP(A4,'TABELA MÃE'!B:G,6,0)</f>
        <v>6.868678</v>
      </c>
      <c r="F4" s="139" t="n">
        <f aca="false">E4*D4</f>
        <v>82.424136</v>
      </c>
      <c r="G4" s="137" t="n">
        <v>7898647930032</v>
      </c>
      <c r="H4" s="137" t="n">
        <v>17898647930039</v>
      </c>
      <c r="I4" s="136" t="s">
        <v>193</v>
      </c>
      <c r="J4" s="136" t="s">
        <v>194</v>
      </c>
      <c r="K4" s="139" t="n">
        <f aca="false">L4*0.995</f>
        <v>81.193945467183</v>
      </c>
      <c r="L4" s="139" t="n">
        <f aca="false">M4*0.995</f>
        <v>81.6019552434</v>
      </c>
      <c r="M4" s="139" t="n">
        <f aca="false">F4*0.995</f>
        <v>82.01201532</v>
      </c>
      <c r="N4" s="140" t="n">
        <f aca="false">F4/0.995</f>
        <v>82.838327638191</v>
      </c>
      <c r="O4" s="141" t="n">
        <f aca="false">F4*0.25%</f>
        <v>0.20606034</v>
      </c>
    </row>
    <row r="5" s="141" customFormat="true" ht="21.75" hidden="false" customHeight="true" outlineLevel="0" collapsed="false">
      <c r="A5" s="134" t="n">
        <v>9646</v>
      </c>
      <c r="B5" s="135" t="s">
        <v>195</v>
      </c>
      <c r="C5" s="136" t="s">
        <v>192</v>
      </c>
      <c r="D5" s="137" t="n">
        <v>12</v>
      </c>
      <c r="E5" s="138" t="n">
        <f aca="false">VLOOKUP(A5,'TABELA MÃE'!B:G,6,0)</f>
        <v>6.868678</v>
      </c>
      <c r="F5" s="139" t="n">
        <f aca="false">E5*D5</f>
        <v>82.424136</v>
      </c>
      <c r="G5" s="137" t="n">
        <v>7898647930049</v>
      </c>
      <c r="H5" s="137" t="n">
        <v>17898647930046</v>
      </c>
      <c r="I5" s="136" t="s">
        <v>193</v>
      </c>
      <c r="J5" s="136" t="s">
        <v>194</v>
      </c>
      <c r="K5" s="139" t="n">
        <f aca="false">L5*0.995</f>
        <v>81.193945467183</v>
      </c>
      <c r="L5" s="139" t="n">
        <f aca="false">M5*0.995</f>
        <v>81.6019552434</v>
      </c>
      <c r="M5" s="139" t="n">
        <f aca="false">F5*0.995</f>
        <v>82.01201532</v>
      </c>
      <c r="N5" s="140" t="n">
        <f aca="false">F5/0.995</f>
        <v>82.838327638191</v>
      </c>
      <c r="O5" s="141" t="n">
        <f aca="false">F5*0.25%</f>
        <v>0.20606034</v>
      </c>
    </row>
    <row r="6" s="141" customFormat="true" ht="21.75" hidden="false" customHeight="true" outlineLevel="0" collapsed="false">
      <c r="A6" s="134" t="n">
        <v>9648</v>
      </c>
      <c r="B6" s="135" t="s">
        <v>196</v>
      </c>
      <c r="C6" s="136" t="s">
        <v>197</v>
      </c>
      <c r="D6" s="137" t="n">
        <v>12</v>
      </c>
      <c r="E6" s="138" t="n">
        <f aca="false">VLOOKUP(A6,'TABELA MÃE'!B:G,6,0)</f>
        <v>7.14645454545455</v>
      </c>
      <c r="F6" s="139" t="n">
        <f aca="false">E6*D6</f>
        <v>85.7574545454546</v>
      </c>
      <c r="G6" s="137" t="n">
        <v>7898647930063</v>
      </c>
      <c r="H6" s="137" t="n">
        <v>17898647930060</v>
      </c>
      <c r="I6" s="136" t="s">
        <v>193</v>
      </c>
      <c r="J6" s="136" t="s">
        <v>194</v>
      </c>
      <c r="K6" s="139" t="n">
        <f aca="false">L6*0.995</f>
        <v>84.4775138166819</v>
      </c>
      <c r="L6" s="139" t="n">
        <f aca="false">M6*0.995</f>
        <v>84.9020239363637</v>
      </c>
      <c r="M6" s="139" t="n">
        <f aca="false">F6*0.995</f>
        <v>85.3286672727273</v>
      </c>
      <c r="N6" s="140" t="n">
        <f aca="false">F6/0.995</f>
        <v>86.1883965280951</v>
      </c>
      <c r="O6" s="141" t="n">
        <f aca="false">F6*0.25%</f>
        <v>0.214393636363637</v>
      </c>
    </row>
    <row r="7" s="141" customFormat="true" ht="21.75" hidden="false" customHeight="true" outlineLevel="0" collapsed="false">
      <c r="A7" s="134" t="n">
        <v>9655</v>
      </c>
      <c r="B7" s="135" t="s">
        <v>198</v>
      </c>
      <c r="C7" s="136" t="s">
        <v>199</v>
      </c>
      <c r="D7" s="137" t="n">
        <v>12</v>
      </c>
      <c r="E7" s="138" t="n">
        <f aca="false">VLOOKUP(A7,'TABELA MÃE'!B:G,6,0)</f>
        <v>8.27361090909091</v>
      </c>
      <c r="F7" s="139" t="n">
        <f aca="false">E7*D7</f>
        <v>99.2833309090909</v>
      </c>
      <c r="G7" s="137" t="n">
        <v>7898647930711</v>
      </c>
      <c r="H7" s="137" t="n">
        <v>17898647930718</v>
      </c>
      <c r="I7" s="136" t="s">
        <v>193</v>
      </c>
      <c r="J7" s="136" t="s">
        <v>194</v>
      </c>
      <c r="K7" s="139" t="n">
        <f aca="false">L7*0.995</f>
        <v>97.8015147848564</v>
      </c>
      <c r="L7" s="139" t="n">
        <f aca="false">M7*0.995</f>
        <v>98.2929796832727</v>
      </c>
      <c r="M7" s="139" t="n">
        <f aca="false">F7*0.995</f>
        <v>98.7869142545455</v>
      </c>
      <c r="N7" s="140" t="n">
        <f aca="false">F7/0.995</f>
        <v>99.7822421196894</v>
      </c>
      <c r="O7" s="141" t="n">
        <f aca="false">F7*0.25%</f>
        <v>0.248208327272727</v>
      </c>
    </row>
    <row r="8" s="141" customFormat="true" ht="21.75" hidden="false" customHeight="true" outlineLevel="0" collapsed="false">
      <c r="A8" s="134" t="n">
        <v>9653</v>
      </c>
      <c r="B8" s="135" t="s">
        <v>200</v>
      </c>
      <c r="C8" s="136" t="s">
        <v>199</v>
      </c>
      <c r="D8" s="137" t="n">
        <v>12</v>
      </c>
      <c r="E8" s="138" t="n">
        <f aca="false">VLOOKUP(A8,'TABELA MÃE'!B:G,6,0)</f>
        <v>7.81918181818182</v>
      </c>
      <c r="F8" s="139" t="n">
        <f aca="false">E8*D8</f>
        <v>93.8301818181818</v>
      </c>
      <c r="G8" s="137" t="n">
        <v>7898647930865</v>
      </c>
      <c r="H8" s="137" t="n">
        <v>17898647930862</v>
      </c>
      <c r="I8" s="136" t="s">
        <v>193</v>
      </c>
      <c r="J8" s="136" t="s">
        <v>194</v>
      </c>
      <c r="K8" s="139" t="n">
        <f aca="false">L8*0.995</f>
        <v>92.4297546257727</v>
      </c>
      <c r="L8" s="139" t="n">
        <f aca="false">M8*0.995</f>
        <v>92.8942257545455</v>
      </c>
      <c r="M8" s="139" t="n">
        <f aca="false">F8*0.995</f>
        <v>93.3610309090909</v>
      </c>
      <c r="N8" s="140" t="n">
        <f aca="false">F8/0.995</f>
        <v>94.3016902695295</v>
      </c>
    </row>
    <row r="9" s="141" customFormat="true" ht="21.75" hidden="false" customHeight="true" outlineLevel="0" collapsed="false">
      <c r="A9" s="134" t="n">
        <v>9654</v>
      </c>
      <c r="B9" s="135" t="s">
        <v>201</v>
      </c>
      <c r="C9" s="136" t="s">
        <v>192</v>
      </c>
      <c r="D9" s="137" t="n">
        <v>12</v>
      </c>
      <c r="E9" s="138" t="n">
        <f aca="false">VLOOKUP(A9,'TABELA MÃE'!B:G,6,0)</f>
        <v>7.22940527272727</v>
      </c>
      <c r="F9" s="139" t="n">
        <f aca="false">E9*D9</f>
        <v>86.7528632727272</v>
      </c>
      <c r="G9" s="137" t="n">
        <v>7898647930872</v>
      </c>
      <c r="H9" s="137" t="n">
        <v>17898647930879</v>
      </c>
      <c r="I9" s="136" t="s">
        <v>193</v>
      </c>
      <c r="J9" s="136" t="s">
        <v>194</v>
      </c>
      <c r="K9" s="139" t="n">
        <f aca="false">L9*0.995</f>
        <v>85.4580659442739</v>
      </c>
      <c r="L9" s="139" t="n">
        <f aca="false">M9*0.995</f>
        <v>85.8875034615818</v>
      </c>
      <c r="M9" s="139" t="n">
        <f aca="false">F9*0.995</f>
        <v>86.3190989563636</v>
      </c>
      <c r="N9" s="140" t="n">
        <f aca="false">F9/0.995</f>
        <v>87.1888073092736</v>
      </c>
    </row>
    <row r="10" s="141" customFormat="true" ht="21.75" hidden="false" customHeight="true" outlineLevel="0" collapsed="false">
      <c r="A10" s="134" t="n">
        <v>9651</v>
      </c>
      <c r="B10" s="135" t="s">
        <v>100</v>
      </c>
      <c r="C10" s="136" t="s">
        <v>197</v>
      </c>
      <c r="D10" s="137" t="n">
        <v>12</v>
      </c>
      <c r="E10" s="138" t="n">
        <f aca="false">VLOOKUP(A10,'TABELA MÃE'!B:G,6,0)</f>
        <v>10.6667382272727</v>
      </c>
      <c r="F10" s="139" t="n">
        <f aca="false">E10*D10</f>
        <v>128.000858727272</v>
      </c>
      <c r="G10" s="137" t="n">
        <v>7898966673153</v>
      </c>
      <c r="H10" s="137" t="n">
        <v>17898966673150</v>
      </c>
      <c r="I10" s="136" t="s">
        <v>202</v>
      </c>
      <c r="J10" s="136" t="s">
        <v>194</v>
      </c>
      <c r="K10" s="139" t="n">
        <f aca="false">L10*0.995</f>
        <v>126.090429910661</v>
      </c>
      <c r="L10" s="139" t="n">
        <f aca="false">M10*0.995</f>
        <v>126.724050161468</v>
      </c>
      <c r="M10" s="139" t="n">
        <f aca="false">F10*0.995</f>
        <v>127.360854433636</v>
      </c>
      <c r="N10" s="140" t="n">
        <f aca="false">F10/0.995</f>
        <v>128.644079122887</v>
      </c>
      <c r="O10" s="141" t="n">
        <f aca="false">F10*0.25%</f>
        <v>0.320002146818181</v>
      </c>
    </row>
    <row r="11" s="141" customFormat="true" ht="21.75" hidden="false" customHeight="true" outlineLevel="0" collapsed="false">
      <c r="A11" s="134" t="n">
        <v>9652</v>
      </c>
      <c r="B11" s="135" t="s">
        <v>99</v>
      </c>
      <c r="C11" s="136" t="s">
        <v>197</v>
      </c>
      <c r="D11" s="137" t="n">
        <v>12</v>
      </c>
      <c r="E11" s="138" t="n">
        <f aca="false">VLOOKUP(A11,'TABELA MÃE'!B:G,6,0)</f>
        <v>9.91764731818182</v>
      </c>
      <c r="F11" s="139" t="n">
        <f aca="false">E11*D11</f>
        <v>119.011767818182</v>
      </c>
      <c r="G11" s="137" t="n">
        <v>7898966673160</v>
      </c>
      <c r="H11" s="137" t="n">
        <v>17898966673167</v>
      </c>
      <c r="I11" s="136" t="s">
        <v>202</v>
      </c>
      <c r="J11" s="136" t="s">
        <v>194</v>
      </c>
      <c r="K11" s="139" t="n">
        <f aca="false">L11*0.995</f>
        <v>117.235502307024</v>
      </c>
      <c r="L11" s="139" t="n">
        <f aca="false">M11*0.995</f>
        <v>117.824625434195</v>
      </c>
      <c r="M11" s="139" t="n">
        <f aca="false">F11*0.995</f>
        <v>118.416708979091</v>
      </c>
      <c r="N11" s="140" t="n">
        <f aca="false">F11/0.995</f>
        <v>119.609816902695</v>
      </c>
      <c r="O11" s="141" t="n">
        <f aca="false">F11*0.25%</f>
        <v>0.297529419545455</v>
      </c>
    </row>
    <row r="12" s="141" customFormat="true" ht="21.75" hidden="false" customHeight="true" outlineLevel="0" collapsed="false">
      <c r="A12" s="134" t="n">
        <v>9357</v>
      </c>
      <c r="B12" s="135" t="s">
        <v>203</v>
      </c>
      <c r="C12" s="136" t="s">
        <v>204</v>
      </c>
      <c r="D12" s="137" t="n">
        <v>12</v>
      </c>
      <c r="E12" s="138" t="n">
        <f aca="false">VLOOKUP(A12,'TABELA MÃE'!B:G,6,0)</f>
        <v>13.920896969697</v>
      </c>
      <c r="F12" s="139" t="n">
        <f aca="false">E12*D12</f>
        <v>167.050763636364</v>
      </c>
      <c r="G12" s="137" t="n">
        <v>7898647930070</v>
      </c>
      <c r="H12" s="137" t="n">
        <v>17898647930077</v>
      </c>
      <c r="I12" s="136" t="s">
        <v>193</v>
      </c>
      <c r="J12" s="136" t="s">
        <v>205</v>
      </c>
      <c r="K12" s="139" t="n">
        <f aca="false">L12*0.995</f>
        <v>164.557510107746</v>
      </c>
      <c r="L12" s="139" t="n">
        <f aca="false">M12*0.995</f>
        <v>165.384432269091</v>
      </c>
      <c r="M12" s="139" t="n">
        <f aca="false">F12*0.995</f>
        <v>166.215509818182</v>
      </c>
      <c r="N12" s="140" t="n">
        <f aca="false">F12/0.995</f>
        <v>167.890214709914</v>
      </c>
      <c r="O12" s="141" t="n">
        <f aca="false">F12*0.25%</f>
        <v>0.41762690909091</v>
      </c>
    </row>
    <row r="13" s="141" customFormat="true" ht="21.75" hidden="false" customHeight="true" outlineLevel="0" collapsed="false">
      <c r="A13" s="134" t="n">
        <v>9358</v>
      </c>
      <c r="B13" s="135" t="s">
        <v>200</v>
      </c>
      <c r="C13" s="136" t="s">
        <v>206</v>
      </c>
      <c r="D13" s="137" t="n">
        <v>12</v>
      </c>
      <c r="E13" s="138" t="n">
        <f aca="false">VLOOKUP(A13,'TABELA MÃE'!B:G,6,0)</f>
        <v>14.5372606060606</v>
      </c>
      <c r="F13" s="139" t="n">
        <f aca="false">E13*D13</f>
        <v>174.447127272727</v>
      </c>
      <c r="G13" s="137" t="n">
        <v>7898966673009</v>
      </c>
      <c r="H13" s="137" t="n">
        <v>17898966673013</v>
      </c>
      <c r="I13" s="136" t="s">
        <v>193</v>
      </c>
      <c r="J13" s="136" t="s">
        <v>205</v>
      </c>
      <c r="K13" s="139" t="n">
        <f aca="false">L13*0.995</f>
        <v>171.843482092291</v>
      </c>
      <c r="L13" s="139" t="n">
        <f aca="false">M13*0.995</f>
        <v>172.707017178182</v>
      </c>
      <c r="M13" s="139" t="n">
        <f aca="false">F13*0.995</f>
        <v>173.574891636364</v>
      </c>
      <c r="N13" s="140" t="n">
        <f aca="false">F13/0.995</f>
        <v>175.323746002741</v>
      </c>
      <c r="O13" s="141" t="n">
        <f aca="false">F13*0.25%</f>
        <v>0.436117818181818</v>
      </c>
    </row>
    <row r="14" s="142" customFormat="true" ht="21.75" hidden="false" customHeight="true" outlineLevel="0" collapsed="false">
      <c r="A14" s="134" t="n">
        <v>9359</v>
      </c>
      <c r="B14" s="135" t="s">
        <v>201</v>
      </c>
      <c r="C14" s="136" t="s">
        <v>207</v>
      </c>
      <c r="D14" s="137" t="n">
        <v>12</v>
      </c>
      <c r="E14" s="138" t="n">
        <f aca="false">VLOOKUP(A14,'TABELA MÃE'!B:G,6,0)</f>
        <v>17.5299878787879</v>
      </c>
      <c r="F14" s="139" t="n">
        <f aca="false">E14*D14</f>
        <v>210.359854545455</v>
      </c>
      <c r="G14" s="137" t="n">
        <v>7898966673023</v>
      </c>
      <c r="H14" s="137" t="n">
        <v>17898966673020</v>
      </c>
      <c r="I14" s="136" t="s">
        <v>193</v>
      </c>
      <c r="J14" s="136" t="s">
        <v>205</v>
      </c>
      <c r="K14" s="139" t="n">
        <f aca="false">L14*0.995</f>
        <v>207.220207421382</v>
      </c>
      <c r="L14" s="139" t="n">
        <f aca="false">M14*0.995</f>
        <v>208.261514996364</v>
      </c>
      <c r="M14" s="139" t="n">
        <f aca="false">F14*0.995</f>
        <v>209.308055272728</v>
      </c>
      <c r="N14" s="140" t="n">
        <f aca="false">F14/0.995</f>
        <v>211.416939241663</v>
      </c>
      <c r="O14" s="142" t="n">
        <f aca="false">F14*0.25%</f>
        <v>0.525899636363637</v>
      </c>
    </row>
    <row r="15" s="141" customFormat="true" ht="21.75" hidden="false" customHeight="true" outlineLevel="0" collapsed="false">
      <c r="A15" s="134" t="n">
        <v>9656</v>
      </c>
      <c r="B15" s="135" t="s">
        <v>208</v>
      </c>
      <c r="C15" s="136" t="s">
        <v>207</v>
      </c>
      <c r="D15" s="137" t="n">
        <v>12</v>
      </c>
      <c r="E15" s="138" t="n">
        <f aca="false">VLOOKUP(A15,'TABELA MÃE'!B:G,6,0)</f>
        <v>14.5939006060606</v>
      </c>
      <c r="F15" s="139" t="n">
        <f aca="false">E15*D15</f>
        <v>175.126807272727</v>
      </c>
      <c r="G15" s="137" t="s">
        <v>209</v>
      </c>
      <c r="H15" s="137" t="s">
        <v>210</v>
      </c>
      <c r="I15" s="136" t="s">
        <v>193</v>
      </c>
      <c r="J15" s="136" t="s">
        <v>205</v>
      </c>
      <c r="K15" s="139" t="n">
        <f aca="false">L15*0.995</f>
        <v>172.513017783331</v>
      </c>
      <c r="L15" s="139" t="n">
        <f aca="false">M15*0.995</f>
        <v>173.379917370182</v>
      </c>
      <c r="M15" s="139" t="n">
        <f aca="false">F15*0.995</f>
        <v>174.251173236364</v>
      </c>
      <c r="N15" s="140" t="n">
        <f aca="false">F15/0.995</f>
        <v>176.006841480128</v>
      </c>
      <c r="O15" s="141" t="n">
        <f aca="false">F15*0.25%</f>
        <v>0.437817018181818</v>
      </c>
    </row>
    <row r="16" s="141" customFormat="true" ht="21.75" hidden="false" customHeight="true" outlineLevel="0" collapsed="false">
      <c r="A16" s="143"/>
      <c r="B16" s="143"/>
      <c r="C16" s="143"/>
      <c r="D16" s="143"/>
      <c r="E16" s="144"/>
      <c r="F16" s="143"/>
      <c r="G16" s="143"/>
      <c r="H16" s="143"/>
      <c r="I16" s="143"/>
      <c r="J16" s="143"/>
      <c r="K16" s="143"/>
      <c r="L16" s="143"/>
      <c r="M16" s="143"/>
      <c r="N16" s="145"/>
      <c r="O16" s="141" t="n">
        <f aca="false">F16*0.25%</f>
        <v>0</v>
      </c>
    </row>
    <row r="17" s="141" customFormat="true" ht="21.75" hidden="false" customHeight="true" outlineLevel="0" collapsed="false">
      <c r="A17" s="134" t="n">
        <v>9663</v>
      </c>
      <c r="B17" s="135" t="s">
        <v>203</v>
      </c>
      <c r="C17" s="136" t="s">
        <v>211</v>
      </c>
      <c r="D17" s="137" t="n">
        <v>30</v>
      </c>
      <c r="E17" s="138" t="n">
        <f aca="false">VLOOKUP(A17,'TABELA MÃE'!B:G,6,0)</f>
        <v>1.76124375757576</v>
      </c>
      <c r="F17" s="139" t="n">
        <f aca="false">E17*D17</f>
        <v>52.8373127272728</v>
      </c>
      <c r="G17" s="146" t="n">
        <v>7898647930087</v>
      </c>
      <c r="H17" s="146" t="n">
        <v>17898647930084</v>
      </c>
      <c r="I17" s="136" t="s">
        <v>193</v>
      </c>
      <c r="J17" s="136" t="s">
        <v>212</v>
      </c>
      <c r="K17" s="139" t="n">
        <f aca="false">L17*0.995</f>
        <v>52.0487092301542</v>
      </c>
      <c r="L17" s="139" t="n">
        <f aca="false">M17*0.995</f>
        <v>52.3102605328183</v>
      </c>
      <c r="M17" s="139" t="n">
        <f aca="false">F17*0.995</f>
        <v>52.5731261636364</v>
      </c>
      <c r="N17" s="140" t="n">
        <f aca="false">F17/0.995</f>
        <v>53.1028268615807</v>
      </c>
      <c r="O17" s="141" t="n">
        <f aca="false">F17*0.25%</f>
        <v>0.132093281818182</v>
      </c>
    </row>
    <row r="18" s="141" customFormat="true" ht="21.75" hidden="false" customHeight="true" outlineLevel="0" collapsed="false">
      <c r="A18" s="134" t="n">
        <v>9664</v>
      </c>
      <c r="B18" s="135" t="s">
        <v>195</v>
      </c>
      <c r="C18" s="136" t="s">
        <v>211</v>
      </c>
      <c r="D18" s="137" t="n">
        <v>30</v>
      </c>
      <c r="E18" s="138" t="n">
        <f aca="false">VLOOKUP(A18,'TABELA MÃE'!B:G,6,0)</f>
        <v>2.5626983030303</v>
      </c>
      <c r="F18" s="139" t="n">
        <f aca="false">E18*D18</f>
        <v>76.880949090909</v>
      </c>
      <c r="G18" s="146" t="s">
        <v>213</v>
      </c>
      <c r="H18" s="146" t="s">
        <v>214</v>
      </c>
      <c r="I18" s="136" t="s">
        <v>193</v>
      </c>
      <c r="J18" s="136" t="s">
        <v>212</v>
      </c>
      <c r="K18" s="139" t="n">
        <f aca="false">L18*0.995</f>
        <v>75.7334913156086</v>
      </c>
      <c r="L18" s="139" t="n">
        <f aca="false">M18*0.995</f>
        <v>76.1140616237272</v>
      </c>
      <c r="M18" s="139" t="n">
        <f aca="false">F18*0.995</f>
        <v>76.4965443454545</v>
      </c>
      <c r="N18" s="140" t="n">
        <f aca="false">F18/0.995</f>
        <v>77.2672855185015</v>
      </c>
      <c r="O18" s="141" t="n">
        <f aca="false">F18*0.25%</f>
        <v>0.192202372727273</v>
      </c>
    </row>
    <row r="19" s="141" customFormat="true" ht="21.75" hidden="false" customHeight="true" outlineLevel="0" collapsed="false">
      <c r="A19" s="134" t="n">
        <v>9665</v>
      </c>
      <c r="B19" s="135" t="s">
        <v>191</v>
      </c>
      <c r="C19" s="136" t="s">
        <v>211</v>
      </c>
      <c r="D19" s="137" t="n">
        <v>30</v>
      </c>
      <c r="E19" s="138" t="n">
        <f aca="false">VLOOKUP(A19,'TABELA MÃE'!B:G,6,0)</f>
        <v>2.5626983030303</v>
      </c>
      <c r="F19" s="139" t="n">
        <f aca="false">E19*D19</f>
        <v>76.880949090909</v>
      </c>
      <c r="G19" s="146" t="s">
        <v>215</v>
      </c>
      <c r="H19" s="146" t="s">
        <v>216</v>
      </c>
      <c r="I19" s="136" t="s">
        <v>193</v>
      </c>
      <c r="J19" s="136" t="s">
        <v>212</v>
      </c>
      <c r="K19" s="139" t="n">
        <f aca="false">L19*0.995</f>
        <v>75.7334913156086</v>
      </c>
      <c r="L19" s="139" t="n">
        <f aca="false">M19*0.995</f>
        <v>76.1140616237272</v>
      </c>
      <c r="M19" s="139" t="n">
        <f aca="false">F19*0.995</f>
        <v>76.4965443454545</v>
      </c>
      <c r="N19" s="140" t="n">
        <f aca="false">F19/0.995</f>
        <v>77.2672855185015</v>
      </c>
      <c r="O19" s="141" t="n">
        <f aca="false">F19*0.25%</f>
        <v>0.192202372727273</v>
      </c>
    </row>
    <row r="20" s="142" customFormat="true" ht="21.75" hidden="false" customHeight="true" outlineLevel="0" collapsed="false">
      <c r="A20" s="134" t="n">
        <v>9360</v>
      </c>
      <c r="B20" s="135" t="s">
        <v>195</v>
      </c>
      <c r="C20" s="136" t="s">
        <v>217</v>
      </c>
      <c r="D20" s="137" t="n">
        <v>18</v>
      </c>
      <c r="E20" s="138" t="n">
        <f aca="false">VLOOKUP(A20,'TABELA MÃE'!B:G,6,0)</f>
        <v>3.69268686868687</v>
      </c>
      <c r="F20" s="139" t="n">
        <f aca="false">E20*D20</f>
        <v>66.4683636363637</v>
      </c>
      <c r="G20" s="146" t="n">
        <v>7898647930094</v>
      </c>
      <c r="H20" s="146" t="n">
        <v>17898647930091</v>
      </c>
      <c r="I20" s="136" t="s">
        <v>193</v>
      </c>
      <c r="J20" s="136" t="s">
        <v>212</v>
      </c>
      <c r="K20" s="139" t="n">
        <f aca="false">L20*0.995</f>
        <v>65.4763150005455</v>
      </c>
      <c r="L20" s="139" t="n">
        <f aca="false">M20*0.995</f>
        <v>65.8053417090909</v>
      </c>
      <c r="M20" s="139" t="n">
        <f aca="false">F20*0.995</f>
        <v>66.1360218181819</v>
      </c>
      <c r="N20" s="140" t="n">
        <f aca="false">F20/0.995</f>
        <v>66.8023755139333</v>
      </c>
      <c r="O20" s="142" t="n">
        <f aca="false">F20*0.25%</f>
        <v>0.166170909090909</v>
      </c>
    </row>
    <row r="21" s="142" customFormat="true" ht="21.75" hidden="false" customHeight="true" outlineLevel="0" collapsed="false">
      <c r="A21" s="134" t="n">
        <v>9361</v>
      </c>
      <c r="B21" s="135" t="s">
        <v>191</v>
      </c>
      <c r="C21" s="136" t="s">
        <v>217</v>
      </c>
      <c r="D21" s="137" t="n">
        <v>18</v>
      </c>
      <c r="E21" s="138" t="n">
        <f aca="false">VLOOKUP(A21,'TABELA MÃE'!B:G,6,0)</f>
        <v>3.69268686868687</v>
      </c>
      <c r="F21" s="139" t="n">
        <f aca="false">E21*D21</f>
        <v>66.4683636363637</v>
      </c>
      <c r="G21" s="146" t="n">
        <v>7898647930100</v>
      </c>
      <c r="H21" s="146" t="n">
        <v>17898647930107</v>
      </c>
      <c r="I21" s="136" t="s">
        <v>193</v>
      </c>
      <c r="J21" s="136" t="s">
        <v>212</v>
      </c>
      <c r="K21" s="139" t="n">
        <f aca="false">L21*0.995</f>
        <v>65.4763150005455</v>
      </c>
      <c r="L21" s="139" t="n">
        <f aca="false">M21*0.995</f>
        <v>65.8053417090909</v>
      </c>
      <c r="M21" s="139" t="n">
        <f aca="false">F21*0.995</f>
        <v>66.1360218181819</v>
      </c>
      <c r="N21" s="140" t="n">
        <f aca="false">F21/0.995</f>
        <v>66.8023755139333</v>
      </c>
      <c r="O21" s="142" t="n">
        <f aca="false">F21*0.25%</f>
        <v>0.166170909090909</v>
      </c>
    </row>
    <row r="22" s="142" customFormat="true" ht="21.75" hidden="false" customHeight="true" outlineLevel="0" collapsed="false">
      <c r="A22" s="134" t="n">
        <v>9630</v>
      </c>
      <c r="B22" s="135" t="s">
        <v>203</v>
      </c>
      <c r="C22" s="136" t="s">
        <v>218</v>
      </c>
      <c r="D22" s="137" t="n">
        <v>18</v>
      </c>
      <c r="E22" s="138" t="n">
        <f aca="false">VLOOKUP(A22,'TABELA MÃE'!B:G,6,0)</f>
        <v>3.8332745050505</v>
      </c>
      <c r="F22" s="139" t="n">
        <f aca="false">E22*D22</f>
        <v>68.998941090909</v>
      </c>
      <c r="G22" s="146" t="n">
        <v>7898647930124</v>
      </c>
      <c r="H22" s="146" t="n">
        <v>17898647930121</v>
      </c>
      <c r="I22" s="136" t="s">
        <v>193</v>
      </c>
      <c r="J22" s="136" t="s">
        <v>212</v>
      </c>
      <c r="K22" s="139" t="n">
        <f aca="false">L22*0.995</f>
        <v>67.9691232702595</v>
      </c>
      <c r="L22" s="139" t="n">
        <f aca="false">M22*0.995</f>
        <v>68.3106766535272</v>
      </c>
      <c r="M22" s="139" t="n">
        <f aca="false">F22*0.995</f>
        <v>68.6539463854545</v>
      </c>
      <c r="N22" s="140" t="n">
        <f aca="false">F22/0.995</f>
        <v>69.3456694380995</v>
      </c>
      <c r="O22" s="142" t="n">
        <f aca="false">F22*0.25%</f>
        <v>0.172497352727273</v>
      </c>
    </row>
    <row r="23" s="141" customFormat="true" ht="21.75" hidden="false" customHeight="true" outlineLevel="0" collapsed="false">
      <c r="A23" s="143"/>
      <c r="B23" s="143"/>
      <c r="C23" s="143"/>
      <c r="D23" s="143"/>
      <c r="E23" s="144"/>
      <c r="F23" s="143"/>
      <c r="G23" s="143"/>
      <c r="H23" s="143"/>
      <c r="I23" s="143"/>
      <c r="J23" s="143"/>
      <c r="K23" s="143"/>
      <c r="L23" s="143"/>
      <c r="M23" s="143"/>
      <c r="N23" s="145"/>
      <c r="O23" s="141" t="n">
        <f aca="false">F23*0.25%</f>
        <v>0</v>
      </c>
    </row>
    <row r="24" s="141" customFormat="true" ht="21.75" hidden="false" customHeight="true" outlineLevel="0" collapsed="false">
      <c r="A24" s="134" t="n">
        <v>9673</v>
      </c>
      <c r="B24" s="135" t="s">
        <v>100</v>
      </c>
      <c r="C24" s="136" t="s">
        <v>219</v>
      </c>
      <c r="D24" s="137" t="n">
        <v>30</v>
      </c>
      <c r="E24" s="138" t="n">
        <f aca="false">VLOOKUP(A24,'TABELA MÃE'!B:G,6,0)</f>
        <v>4.46197603030303</v>
      </c>
      <c r="F24" s="139" t="n">
        <f aca="false">E24*D24</f>
        <v>133.859280909091</v>
      </c>
      <c r="G24" s="146" t="n">
        <v>7898647930131</v>
      </c>
      <c r="H24" s="146" t="n">
        <v>17898647930138</v>
      </c>
      <c r="I24" s="136" t="s">
        <v>202</v>
      </c>
      <c r="J24" s="136" t="s">
        <v>212</v>
      </c>
      <c r="K24" s="139" t="n">
        <f aca="false">L24*0.995</f>
        <v>131.861414409113</v>
      </c>
      <c r="L24" s="139" t="n">
        <f aca="false">M24*0.995</f>
        <v>132.524034582023</v>
      </c>
      <c r="M24" s="139" t="n">
        <f aca="false">F24*0.995</f>
        <v>133.189984504545</v>
      </c>
      <c r="N24" s="140" t="n">
        <f aca="false">F24/0.995</f>
        <v>134.531940612152</v>
      </c>
      <c r="O24" s="141" t="n">
        <f aca="false">F24*0.25%</f>
        <v>0.334648202272727</v>
      </c>
    </row>
    <row r="25" s="141" customFormat="true" ht="21.75" hidden="false" customHeight="true" outlineLevel="0" collapsed="false">
      <c r="A25" s="134" t="n">
        <v>10057</v>
      </c>
      <c r="B25" s="135" t="s">
        <v>99</v>
      </c>
      <c r="C25" s="136" t="s">
        <v>219</v>
      </c>
      <c r="D25" s="137" t="n">
        <v>30</v>
      </c>
      <c r="E25" s="138" t="n">
        <f aca="false">VLOOKUP(A25,'TABELA MÃE'!B:G,6,0)</f>
        <v>4.08743057575758</v>
      </c>
      <c r="F25" s="139" t="n">
        <f aca="false">E25*D25</f>
        <v>122.622917272727</v>
      </c>
      <c r="G25" s="146" t="n">
        <v>7898647930148</v>
      </c>
      <c r="H25" s="146" t="n">
        <v>17898647930145</v>
      </c>
      <c r="I25" s="136" t="s">
        <v>202</v>
      </c>
      <c r="J25" s="136" t="s">
        <v>212</v>
      </c>
      <c r="K25" s="139" t="n">
        <f aca="false">L25*0.995</f>
        <v>120.792754904567</v>
      </c>
      <c r="L25" s="139" t="n">
        <f aca="false">M25*0.995</f>
        <v>121.399753672932</v>
      </c>
      <c r="M25" s="139" t="n">
        <f aca="false">F25*0.995</f>
        <v>122.009802686364</v>
      </c>
      <c r="N25" s="140" t="n">
        <f aca="false">F25/0.995</f>
        <v>123.239112836912</v>
      </c>
      <c r="O25" s="141" t="n">
        <f aca="false">F25*0.25%</f>
        <v>0.306557293181819</v>
      </c>
    </row>
    <row r="26" s="141" customFormat="true" ht="21.75" hidden="false" customHeight="true" outlineLevel="0" collapsed="false">
      <c r="A26" s="143"/>
      <c r="B26" s="143"/>
      <c r="C26" s="143"/>
      <c r="D26" s="143"/>
      <c r="E26" s="144"/>
      <c r="F26" s="143"/>
      <c r="G26" s="143"/>
      <c r="H26" s="143"/>
      <c r="I26" s="143"/>
      <c r="J26" s="143"/>
      <c r="K26" s="143"/>
      <c r="L26" s="143"/>
      <c r="M26" s="143"/>
      <c r="N26" s="145"/>
      <c r="O26" s="141" t="n">
        <f aca="false">F26*0.25%</f>
        <v>0</v>
      </c>
    </row>
    <row r="27" s="142" customFormat="true" ht="21.75" hidden="false" customHeight="true" outlineLevel="0" collapsed="false">
      <c r="A27" s="134" t="n">
        <v>9565</v>
      </c>
      <c r="B27" s="135" t="s">
        <v>203</v>
      </c>
      <c r="C27" s="136" t="s">
        <v>220</v>
      </c>
      <c r="D27" s="137" t="n">
        <v>36</v>
      </c>
      <c r="E27" s="138" t="n">
        <f aca="false">VLOOKUP(A27,'TABELA MÃE'!B:G,6,0)</f>
        <v>1.36802197979798</v>
      </c>
      <c r="F27" s="139" t="n">
        <f aca="false">E27*D27</f>
        <v>49.2487912727273</v>
      </c>
      <c r="G27" s="146" t="n">
        <v>7898647930476</v>
      </c>
      <c r="H27" s="146" t="n">
        <v>17898647930473</v>
      </c>
      <c r="I27" s="136" t="s">
        <v>193</v>
      </c>
      <c r="J27" s="136" t="s">
        <v>212</v>
      </c>
      <c r="K27" s="139" t="n">
        <f aca="false">L27*0.995</f>
        <v>48.5137469068829</v>
      </c>
      <c r="L27" s="139" t="n">
        <f aca="false">M27*0.995</f>
        <v>48.7575345797818</v>
      </c>
      <c r="M27" s="139" t="n">
        <f aca="false">F27*0.995</f>
        <v>49.0025473163636</v>
      </c>
      <c r="N27" s="140" t="n">
        <f aca="false">F27/0.995</f>
        <v>49.4962726359068</v>
      </c>
      <c r="O27" s="142" t="n">
        <f aca="false">F27*0.25%</f>
        <v>0.123121978181818</v>
      </c>
    </row>
    <row r="28" s="141" customFormat="true" ht="21.75" hidden="false" customHeight="true" outlineLevel="0" collapsed="false">
      <c r="A28" s="143"/>
      <c r="B28" s="143"/>
      <c r="C28" s="143"/>
      <c r="D28" s="143"/>
      <c r="E28" s="144"/>
      <c r="F28" s="143"/>
      <c r="G28" s="143"/>
      <c r="H28" s="143"/>
      <c r="I28" s="143"/>
      <c r="J28" s="143"/>
      <c r="K28" s="143"/>
      <c r="L28" s="143"/>
      <c r="M28" s="143"/>
      <c r="N28" s="145"/>
      <c r="O28" s="141" t="n">
        <f aca="false">F28*0.25%</f>
        <v>0</v>
      </c>
    </row>
    <row r="29" s="141" customFormat="true" ht="21.75" hidden="false" customHeight="true" outlineLevel="0" collapsed="false">
      <c r="A29" s="134" t="n">
        <v>9674</v>
      </c>
      <c r="B29" s="135" t="s">
        <v>221</v>
      </c>
      <c r="C29" s="136" t="s">
        <v>222</v>
      </c>
      <c r="D29" s="137" t="n">
        <v>6</v>
      </c>
      <c r="E29" s="138" t="n">
        <f aca="false">VLOOKUP(A29,'TABELA MÃE'!B:G,6,0)</f>
        <v>23.923696969697</v>
      </c>
      <c r="F29" s="139" t="n">
        <f aca="false">E29*D29</f>
        <v>143.542181818182</v>
      </c>
      <c r="G29" s="146" t="n">
        <v>7898647930308</v>
      </c>
      <c r="H29" s="146" t="n">
        <v>17898647930305</v>
      </c>
      <c r="I29" s="136" t="s">
        <v>193</v>
      </c>
      <c r="J29" s="136" t="s">
        <v>223</v>
      </c>
      <c r="K29" s="139" t="n">
        <f aca="false">L29*0.995</f>
        <v>141.399796811773</v>
      </c>
      <c r="L29" s="139" t="n">
        <f aca="false">M29*0.995</f>
        <v>142.110348554546</v>
      </c>
      <c r="M29" s="139" t="n">
        <f aca="false">F29*0.995</f>
        <v>142.824470909091</v>
      </c>
      <c r="N29" s="140" t="n">
        <f aca="false">F29/0.995</f>
        <v>144.263499314756</v>
      </c>
      <c r="O29" s="141" t="n">
        <f aca="false">F29*0.25%</f>
        <v>0.358855454545455</v>
      </c>
    </row>
    <row r="30" s="141" customFormat="true" ht="21.75" hidden="false" customHeight="true" outlineLevel="0" collapsed="false">
      <c r="A30" s="134" t="n">
        <v>9675</v>
      </c>
      <c r="B30" s="135" t="s">
        <v>195</v>
      </c>
      <c r="C30" s="136" t="s">
        <v>222</v>
      </c>
      <c r="D30" s="137" t="n">
        <v>6</v>
      </c>
      <c r="E30" s="138" t="n">
        <f aca="false">VLOOKUP(A30,'TABELA MÃE'!B:G,6,0)</f>
        <v>23.923696969697</v>
      </c>
      <c r="F30" s="139" t="n">
        <f aca="false">E30*D30</f>
        <v>143.542181818182</v>
      </c>
      <c r="G30" s="146" t="n">
        <v>7898647930377</v>
      </c>
      <c r="H30" s="146" t="n">
        <v>17898647930312</v>
      </c>
      <c r="I30" s="136" t="s">
        <v>193</v>
      </c>
      <c r="J30" s="136" t="s">
        <v>223</v>
      </c>
      <c r="K30" s="139" t="n">
        <f aca="false">L30*0.995</f>
        <v>141.399796811773</v>
      </c>
      <c r="L30" s="139" t="n">
        <f aca="false">M30*0.995</f>
        <v>142.110348554546</v>
      </c>
      <c r="M30" s="139" t="n">
        <f aca="false">F30*0.995</f>
        <v>142.824470909091</v>
      </c>
      <c r="N30" s="140" t="n">
        <f aca="false">F30/0.995</f>
        <v>144.263499314756</v>
      </c>
      <c r="O30" s="141" t="n">
        <f aca="false">F30*0.25%</f>
        <v>0.358855454545455</v>
      </c>
    </row>
    <row r="31" s="141" customFormat="true" ht="21.75" hidden="false" customHeight="true" outlineLevel="0" collapsed="false">
      <c r="A31" s="134" t="n">
        <v>9677</v>
      </c>
      <c r="B31" s="135" t="s">
        <v>224</v>
      </c>
      <c r="C31" s="136" t="s">
        <v>222</v>
      </c>
      <c r="D31" s="137" t="n">
        <v>6</v>
      </c>
      <c r="E31" s="138" t="n">
        <f aca="false">VLOOKUP(A31,'TABELA MÃE'!B:G,6,0)</f>
        <v>24.4929696969697</v>
      </c>
      <c r="F31" s="139" t="n">
        <f aca="false">E31*D31</f>
        <v>146.957818181818</v>
      </c>
      <c r="G31" s="146" t="n">
        <v>7898647930346</v>
      </c>
      <c r="H31" s="146" t="n">
        <v>17898647930343</v>
      </c>
      <c r="I31" s="136" t="s">
        <v>193</v>
      </c>
      <c r="J31" s="136" t="s">
        <v>223</v>
      </c>
      <c r="K31" s="139" t="n">
        <f aca="false">L31*0.995</f>
        <v>144.764454375727</v>
      </c>
      <c r="L31" s="139" t="n">
        <f aca="false">M31*0.995</f>
        <v>145.491913945455</v>
      </c>
      <c r="M31" s="139" t="n">
        <f aca="false">F31*0.995</f>
        <v>146.223029090909</v>
      </c>
      <c r="N31" s="140" t="n">
        <f aca="false">F31/0.995</f>
        <v>147.696299680219</v>
      </c>
      <c r="O31" s="141" t="n">
        <f aca="false">F31*0.25%</f>
        <v>0.367394545454546</v>
      </c>
    </row>
    <row r="32" s="141" customFormat="true" ht="21.75" hidden="false" customHeight="true" outlineLevel="0" collapsed="false">
      <c r="A32" s="134" t="n">
        <v>9678</v>
      </c>
      <c r="B32" s="135" t="s">
        <v>225</v>
      </c>
      <c r="C32" s="136" t="s">
        <v>222</v>
      </c>
      <c r="D32" s="137" t="n">
        <v>6</v>
      </c>
      <c r="E32" s="138" t="n">
        <f aca="false">VLOOKUP(A32,'TABELA MÃE'!B:G,6,0)</f>
        <v>21.095696969697</v>
      </c>
      <c r="F32" s="139" t="n">
        <f aca="false">E32*D32</f>
        <v>126.574181818182</v>
      </c>
      <c r="G32" s="146" t="n">
        <v>7898647930353</v>
      </c>
      <c r="H32" s="146" t="n">
        <v>17898647930350</v>
      </c>
      <c r="I32" s="136" t="s">
        <v>193</v>
      </c>
      <c r="J32" s="136" t="s">
        <v>223</v>
      </c>
      <c r="K32" s="139" t="n">
        <f aca="false">L32*0.995</f>
        <v>124.685046332773</v>
      </c>
      <c r="L32" s="139" t="n">
        <f aca="false">M32*0.995</f>
        <v>125.311604354546</v>
      </c>
      <c r="M32" s="139" t="n">
        <f aca="false">F32*0.995</f>
        <v>125.941310909091</v>
      </c>
      <c r="N32" s="140" t="n">
        <f aca="false">F32/0.995</f>
        <v>127.210232983097</v>
      </c>
      <c r="O32" s="141" t="n">
        <f aca="false">F32*0.25%</f>
        <v>0.316435454545455</v>
      </c>
    </row>
    <row r="33" s="141" customFormat="true" ht="21.75" hidden="false" customHeight="true" outlineLevel="0" collapsed="false">
      <c r="A33" s="134" t="n">
        <v>9679</v>
      </c>
      <c r="B33" s="135" t="s">
        <v>226</v>
      </c>
      <c r="C33" s="136" t="s">
        <v>222</v>
      </c>
      <c r="D33" s="137" t="n">
        <v>6</v>
      </c>
      <c r="E33" s="138" t="n">
        <f aca="false">VLOOKUP(A33,'TABELA MÃE'!B:G,6,0)</f>
        <v>13.8053333333333</v>
      </c>
      <c r="F33" s="139" t="n">
        <f aca="false">E33*D33</f>
        <v>82.8319999999998</v>
      </c>
      <c r="G33" s="146" t="n">
        <v>7898647930360</v>
      </c>
      <c r="H33" s="146" t="n">
        <v>17898647930367</v>
      </c>
      <c r="I33" s="136" t="s">
        <v>193</v>
      </c>
      <c r="J33" s="136" t="s">
        <v>223</v>
      </c>
      <c r="K33" s="139" t="n">
        <f aca="false">L33*0.995</f>
        <v>81.5957220459998</v>
      </c>
      <c r="L33" s="139" t="n">
        <f aca="false">M33*0.995</f>
        <v>82.0057507999998</v>
      </c>
      <c r="M33" s="139" t="n">
        <f aca="false">F33*0.995</f>
        <v>82.4178399999998</v>
      </c>
      <c r="N33" s="140" t="n">
        <f aca="false">F33/0.995</f>
        <v>83.24824120603</v>
      </c>
      <c r="O33" s="141" t="n">
        <f aca="false">F33*0.25%</f>
        <v>0.20708</v>
      </c>
    </row>
    <row r="34" s="141" customFormat="true" ht="21.75" hidden="false" customHeight="true" outlineLevel="0" collapsed="false">
      <c r="A34" s="134" t="n">
        <v>9680</v>
      </c>
      <c r="B34" s="135" t="s">
        <v>100</v>
      </c>
      <c r="C34" s="136" t="s">
        <v>222</v>
      </c>
      <c r="D34" s="137" t="n">
        <v>6</v>
      </c>
      <c r="E34" s="138" t="n">
        <f aca="false">VLOOKUP(A34,'TABELA MÃE'!B:G,6,0)</f>
        <v>39.1723434242424</v>
      </c>
      <c r="F34" s="139" t="n">
        <f aca="false">E34*D34</f>
        <v>235.034060545454</v>
      </c>
      <c r="G34" s="146" t="n">
        <v>7898647930445</v>
      </c>
      <c r="H34" s="146" t="n">
        <v>17898647930442</v>
      </c>
      <c r="I34" s="136" t="s">
        <v>202</v>
      </c>
      <c r="J34" s="136" t="s">
        <v>223</v>
      </c>
      <c r="K34" s="139" t="n">
        <f aca="false">L34*0.995</f>
        <v>231.526147812556</v>
      </c>
      <c r="L34" s="139" t="n">
        <f aca="false">M34*0.995</f>
        <v>232.689595791513</v>
      </c>
      <c r="M34" s="139" t="n">
        <f aca="false">F34*0.995</f>
        <v>233.858890242727</v>
      </c>
      <c r="N34" s="140" t="n">
        <f aca="false">F34/0.995</f>
        <v>236.215136226587</v>
      </c>
      <c r="O34" s="141" t="n">
        <f aca="false">F34*0.25%</f>
        <v>0.587585151363636</v>
      </c>
    </row>
    <row r="35" s="141" customFormat="true" ht="21.75" hidden="false" customHeight="true" outlineLevel="0" collapsed="false">
      <c r="A35" s="134" t="n">
        <v>9681</v>
      </c>
      <c r="B35" s="135" t="s">
        <v>99</v>
      </c>
      <c r="C35" s="136" t="s">
        <v>222</v>
      </c>
      <c r="D35" s="137" t="n">
        <v>6</v>
      </c>
      <c r="E35" s="138" t="n">
        <f aca="false">VLOOKUP(A35,'TABELA MÃE'!B:G,6,0)</f>
        <v>35.3894343333333</v>
      </c>
      <c r="F35" s="139" t="n">
        <f aca="false">E35*D35</f>
        <v>212.336606</v>
      </c>
      <c r="G35" s="146" t="n">
        <v>7898647930452</v>
      </c>
      <c r="H35" s="146" t="n">
        <v>17898647930459</v>
      </c>
      <c r="I35" s="136" t="s">
        <v>202</v>
      </c>
      <c r="J35" s="136" t="s">
        <v>223</v>
      </c>
      <c r="K35" s="139" t="n">
        <f aca="false">L35*0.995</f>
        <v>209.167455613374</v>
      </c>
      <c r="L35" s="139" t="n">
        <f aca="false">M35*0.995</f>
        <v>210.21854835515</v>
      </c>
      <c r="M35" s="139" t="n">
        <f aca="false">F35*0.995</f>
        <v>211.27492297</v>
      </c>
      <c r="N35" s="140" t="n">
        <f aca="false">F35/0.995</f>
        <v>213.403624120603</v>
      </c>
      <c r="O35" s="141" t="n">
        <f aca="false">F35*0.25%</f>
        <v>0.530841514999999</v>
      </c>
    </row>
    <row r="36" s="141" customFormat="true" ht="21.75" hidden="false" customHeight="true" outlineLevel="0" collapsed="false">
      <c r="A36" s="143"/>
      <c r="B36" s="143"/>
      <c r="C36" s="143"/>
      <c r="D36" s="143"/>
      <c r="E36" s="144"/>
      <c r="F36" s="143"/>
      <c r="G36" s="143"/>
      <c r="H36" s="143"/>
      <c r="I36" s="143"/>
      <c r="J36" s="143"/>
      <c r="K36" s="143"/>
      <c r="L36" s="143"/>
      <c r="M36" s="143"/>
      <c r="N36" s="145"/>
      <c r="O36" s="141" t="n">
        <f aca="false">F36*0.25%</f>
        <v>0</v>
      </c>
    </row>
    <row r="37" s="141" customFormat="true" ht="21.75" hidden="false" customHeight="true" outlineLevel="0" collapsed="false">
      <c r="A37" s="134" t="n">
        <v>9682</v>
      </c>
      <c r="B37" s="135" t="s">
        <v>221</v>
      </c>
      <c r="C37" s="136" t="s">
        <v>227</v>
      </c>
      <c r="D37" s="137" t="n">
        <v>2</v>
      </c>
      <c r="E37" s="138" t="n">
        <f aca="false">VLOOKUP(A37,'TABELA MÃE'!B:G,6,0)</f>
        <v>53.3923818181818</v>
      </c>
      <c r="F37" s="139" t="n">
        <f aca="false">E37*D37</f>
        <v>106.784763636364</v>
      </c>
      <c r="G37" s="146" t="n">
        <v>7898647930155</v>
      </c>
      <c r="H37" s="146" t="n">
        <v>37898647930156</v>
      </c>
      <c r="I37" s="136" t="s">
        <v>193</v>
      </c>
      <c r="J37" s="136" t="s">
        <v>228</v>
      </c>
      <c r="K37" s="139" t="n">
        <f aca="false">L37*0.995</f>
        <v>105.190987690995</v>
      </c>
      <c r="L37" s="139" t="n">
        <f aca="false">M37*0.995</f>
        <v>105.719585619091</v>
      </c>
      <c r="M37" s="139" t="n">
        <f aca="false">F37*0.995</f>
        <v>106.250839818182</v>
      </c>
      <c r="N37" s="140" t="n">
        <f aca="false">F37/0.995</f>
        <v>107.321370488808</v>
      </c>
      <c r="O37" s="141" t="n">
        <f aca="false">F37*0.25%</f>
        <v>0.266961909090909</v>
      </c>
    </row>
    <row r="38" s="141" customFormat="true" ht="21.75" hidden="false" customHeight="true" outlineLevel="0" collapsed="false">
      <c r="A38" s="134" t="n">
        <v>9685</v>
      </c>
      <c r="B38" s="135" t="s">
        <v>195</v>
      </c>
      <c r="C38" s="136" t="s">
        <v>227</v>
      </c>
      <c r="D38" s="137" t="n">
        <v>2</v>
      </c>
      <c r="E38" s="138" t="n">
        <f aca="false">VLOOKUP(A38,'TABELA MÃE'!B:G,6,0)</f>
        <v>53.3923818181818</v>
      </c>
      <c r="F38" s="139" t="n">
        <f aca="false">E38*D38</f>
        <v>106.784763636364</v>
      </c>
      <c r="G38" s="146" t="n">
        <v>7898647930162</v>
      </c>
      <c r="H38" s="146" t="n">
        <v>37898647930163</v>
      </c>
      <c r="I38" s="136" t="s">
        <v>193</v>
      </c>
      <c r="J38" s="136" t="s">
        <v>228</v>
      </c>
      <c r="K38" s="139" t="n">
        <f aca="false">L38*0.995</f>
        <v>105.190987690995</v>
      </c>
      <c r="L38" s="139" t="n">
        <f aca="false">M38*0.995</f>
        <v>105.719585619091</v>
      </c>
      <c r="M38" s="139" t="n">
        <f aca="false">F38*0.995</f>
        <v>106.250839818182</v>
      </c>
      <c r="N38" s="140" t="n">
        <f aca="false">F38/0.995</f>
        <v>107.321370488808</v>
      </c>
      <c r="O38" s="141" t="n">
        <f aca="false">F38*0.25%</f>
        <v>0.266961909090909</v>
      </c>
    </row>
    <row r="39" s="141" customFormat="true" ht="21.75" hidden="false" customHeight="true" outlineLevel="0" collapsed="false">
      <c r="A39" s="134" t="n">
        <v>9688</v>
      </c>
      <c r="B39" s="135" t="s">
        <v>229</v>
      </c>
      <c r="C39" s="136" t="s">
        <v>227</v>
      </c>
      <c r="D39" s="137" t="n">
        <v>2</v>
      </c>
      <c r="E39" s="138" t="n">
        <f aca="false">VLOOKUP(A39,'TABELA MÃE'!B:G,6,0)</f>
        <v>57.992</v>
      </c>
      <c r="F39" s="139" t="n">
        <f aca="false">E39*D39</f>
        <v>115.984</v>
      </c>
      <c r="G39" s="146" t="n">
        <v>7898647930186</v>
      </c>
      <c r="H39" s="146" t="n">
        <v>37898647930187</v>
      </c>
      <c r="I39" s="136" t="s">
        <v>193</v>
      </c>
      <c r="J39" s="136" t="s">
        <v>228</v>
      </c>
      <c r="K39" s="139" t="n">
        <f aca="false">L39*0.995</f>
        <v>114.252924302</v>
      </c>
      <c r="L39" s="139" t="n">
        <f aca="false">M39*0.995</f>
        <v>114.8270596</v>
      </c>
      <c r="M39" s="139" t="n">
        <f aca="false">F39*0.995</f>
        <v>115.40408</v>
      </c>
      <c r="N39" s="140" t="n">
        <f aca="false">F39/0.995</f>
        <v>116.566834170854</v>
      </c>
      <c r="O39" s="141" t="n">
        <f aca="false">F39*0.25%</f>
        <v>0.28996</v>
      </c>
    </row>
    <row r="40" s="141" customFormat="true" ht="21.75" hidden="false" customHeight="true" outlineLevel="0" collapsed="false">
      <c r="A40" s="134" t="n">
        <v>9683</v>
      </c>
      <c r="B40" s="135" t="s">
        <v>230</v>
      </c>
      <c r="C40" s="136" t="s">
        <v>227</v>
      </c>
      <c r="D40" s="137" t="n">
        <v>2</v>
      </c>
      <c r="E40" s="138" t="n">
        <f aca="false">VLOOKUP(A40,'TABELA MÃE'!B:G,6,0)</f>
        <v>73.2647272727273</v>
      </c>
      <c r="F40" s="139" t="n">
        <f aca="false">E40*D40</f>
        <v>146.529454545455</v>
      </c>
      <c r="G40" s="146" t="n">
        <v>7898647930186</v>
      </c>
      <c r="H40" s="146" t="n">
        <v>37898647930187</v>
      </c>
      <c r="I40" s="136" t="s">
        <v>193</v>
      </c>
      <c r="J40" s="136" t="s">
        <v>228</v>
      </c>
      <c r="K40" s="139" t="n">
        <f aca="false">L40*0.995</f>
        <v>144.342484120182</v>
      </c>
      <c r="L40" s="139" t="n">
        <f aca="false">M40*0.995</f>
        <v>145.067823236364</v>
      </c>
      <c r="M40" s="139" t="n">
        <f aca="false">F40*0.995</f>
        <v>145.796807272727</v>
      </c>
      <c r="N40" s="140" t="n">
        <f aca="false">F40/0.995</f>
        <v>147.265783462768</v>
      </c>
      <c r="O40" s="141" t="n">
        <f aca="false">F40*0.25%</f>
        <v>0.366323636363637</v>
      </c>
    </row>
    <row r="41" s="141" customFormat="true" ht="21.75" hidden="false" customHeight="true" outlineLevel="0" collapsed="false">
      <c r="A41" s="134" t="n">
        <v>9686</v>
      </c>
      <c r="B41" s="135" t="s">
        <v>231</v>
      </c>
      <c r="C41" s="136" t="s">
        <v>227</v>
      </c>
      <c r="D41" s="137" t="n">
        <v>2</v>
      </c>
      <c r="E41" s="138" t="n">
        <f aca="false">VLOOKUP(A41,'TABELA MÃE'!B:G,6,0)</f>
        <v>73.2647272727273</v>
      </c>
      <c r="F41" s="139" t="n">
        <f aca="false">E41*D41</f>
        <v>146.529454545455</v>
      </c>
      <c r="G41" s="146" t="n">
        <v>7898647930186</v>
      </c>
      <c r="H41" s="146" t="n">
        <v>37898647930187</v>
      </c>
      <c r="I41" s="136" t="s">
        <v>193</v>
      </c>
      <c r="J41" s="136" t="s">
        <v>228</v>
      </c>
      <c r="K41" s="139" t="n">
        <f aca="false">L41*0.995</f>
        <v>144.342484120182</v>
      </c>
      <c r="L41" s="139" t="n">
        <f aca="false">M41*0.995</f>
        <v>145.067823236364</v>
      </c>
      <c r="M41" s="139" t="n">
        <f aca="false">F41*0.995</f>
        <v>145.796807272727</v>
      </c>
      <c r="N41" s="140" t="n">
        <f aca="false">F41/0.995</f>
        <v>147.265783462768</v>
      </c>
      <c r="O41" s="141" t="n">
        <f aca="false">F41*0.25%</f>
        <v>0.366323636363637</v>
      </c>
    </row>
    <row r="42" s="141" customFormat="true" ht="21.75" hidden="false" customHeight="true" outlineLevel="0" collapsed="false">
      <c r="A42" s="134" t="n">
        <v>9733</v>
      </c>
      <c r="B42" s="135" t="s">
        <v>224</v>
      </c>
      <c r="C42" s="136" t="s">
        <v>227</v>
      </c>
      <c r="D42" s="137" t="n">
        <v>2</v>
      </c>
      <c r="E42" s="138" t="n">
        <f aca="false">VLOOKUP(A42,'TABELA MÃE'!B:G,6,0)</f>
        <v>54.5196545454545</v>
      </c>
      <c r="F42" s="139" t="n">
        <f aca="false">E42*D42</f>
        <v>109.039309090909</v>
      </c>
      <c r="G42" s="146" t="n">
        <v>7898647930193</v>
      </c>
      <c r="H42" s="146" t="n">
        <v>37898647930194</v>
      </c>
      <c r="I42" s="136" t="s">
        <v>193</v>
      </c>
      <c r="J42" s="136" t="s">
        <v>228</v>
      </c>
      <c r="K42" s="139" t="n">
        <f aca="false">L42*0.995</f>
        <v>107.411883772814</v>
      </c>
      <c r="L42" s="139" t="n">
        <f aca="false">M42*0.995</f>
        <v>107.951641982727</v>
      </c>
      <c r="M42" s="139" t="n">
        <f aca="false">F42*0.995</f>
        <v>108.494112545454</v>
      </c>
      <c r="N42" s="140" t="n">
        <f aca="false">F42/0.995</f>
        <v>109.587245317496</v>
      </c>
      <c r="O42" s="141" t="n">
        <f aca="false">F42*0.25%</f>
        <v>0.272598272727273</v>
      </c>
    </row>
    <row r="43" s="141" customFormat="true" ht="21.75" hidden="false" customHeight="true" outlineLevel="0" collapsed="false">
      <c r="A43" s="134" t="n">
        <v>9690</v>
      </c>
      <c r="B43" s="135" t="s">
        <v>225</v>
      </c>
      <c r="C43" s="136" t="s">
        <v>227</v>
      </c>
      <c r="D43" s="137" t="n">
        <v>2</v>
      </c>
      <c r="E43" s="138" t="n">
        <f aca="false">VLOOKUP(A43,'TABELA MÃE'!B:G,6,0)</f>
        <v>47.7923818181818</v>
      </c>
      <c r="F43" s="139" t="n">
        <f aca="false">E43*D43</f>
        <v>95.5847636363636</v>
      </c>
      <c r="G43" s="146" t="n">
        <v>7898647930209</v>
      </c>
      <c r="H43" s="146" t="n">
        <v>37898647930200</v>
      </c>
      <c r="I43" s="136" t="s">
        <v>193</v>
      </c>
      <c r="J43" s="136" t="s">
        <v>228</v>
      </c>
      <c r="K43" s="139" t="n">
        <f aca="false">L43*0.995</f>
        <v>94.1581490909954</v>
      </c>
      <c r="L43" s="139" t="n">
        <f aca="false">M43*0.995</f>
        <v>94.6313056190909</v>
      </c>
      <c r="M43" s="139" t="n">
        <f aca="false">F43*0.995</f>
        <v>95.1068398181818</v>
      </c>
      <c r="N43" s="140" t="n">
        <f aca="false">F43/0.995</f>
        <v>96.0650890817725</v>
      </c>
      <c r="O43" s="141" t="n">
        <f aca="false">F43*0.25%</f>
        <v>0.238961909090909</v>
      </c>
    </row>
    <row r="44" s="142" customFormat="true" ht="21.75" hidden="false" customHeight="true" outlineLevel="0" collapsed="false">
      <c r="A44" s="134" t="n">
        <v>9564</v>
      </c>
      <c r="B44" s="135" t="s">
        <v>226</v>
      </c>
      <c r="C44" s="136" t="s">
        <v>227</v>
      </c>
      <c r="D44" s="137" t="n">
        <v>2</v>
      </c>
      <c r="E44" s="138" t="n">
        <f aca="false">VLOOKUP(A44,'TABELA MÃE'!B:G,6,0)</f>
        <v>33.3560181818182</v>
      </c>
      <c r="F44" s="139" t="n">
        <f aca="false">E44*D44</f>
        <v>66.7120363636364</v>
      </c>
      <c r="G44" s="146" t="n">
        <v>7898647930216</v>
      </c>
      <c r="H44" s="146" t="n">
        <v>37898647930217</v>
      </c>
      <c r="I44" s="136" t="s">
        <v>193</v>
      </c>
      <c r="J44" s="136" t="s">
        <v>228</v>
      </c>
      <c r="K44" s="139" t="n">
        <f aca="false">L44*0.995</f>
        <v>65.7163508819046</v>
      </c>
      <c r="L44" s="139" t="n">
        <f aca="false">M44*0.995</f>
        <v>66.0465838009091</v>
      </c>
      <c r="M44" s="139" t="n">
        <f aca="false">F44*0.995</f>
        <v>66.3784761818182</v>
      </c>
      <c r="N44" s="140" t="n">
        <f aca="false">F44/0.995</f>
        <v>67.0472727272728</v>
      </c>
      <c r="O44" s="142" t="n">
        <f aca="false">F44*0.25%</f>
        <v>0.166780090909091</v>
      </c>
    </row>
    <row r="45" s="141" customFormat="true" ht="21.75" hidden="false" customHeight="true" outlineLevel="0" collapsed="false">
      <c r="A45" s="134" t="n">
        <v>9734</v>
      </c>
      <c r="B45" s="135" t="s">
        <v>100</v>
      </c>
      <c r="C45" s="136" t="s">
        <v>227</v>
      </c>
      <c r="D45" s="137" t="n">
        <v>2</v>
      </c>
      <c r="E45" s="138" t="n">
        <f aca="false">VLOOKUP(A45,'TABELA MÃE'!B:G,6,0)</f>
        <v>82.9693545454545</v>
      </c>
      <c r="F45" s="139" t="n">
        <f aca="false">E45*D45</f>
        <v>165.938709090909</v>
      </c>
      <c r="G45" s="146" t="n">
        <v>7898647930261</v>
      </c>
      <c r="H45" s="146" t="n">
        <v>37898647930262</v>
      </c>
      <c r="I45" s="136" t="s">
        <v>202</v>
      </c>
      <c r="J45" s="136" t="s">
        <v>228</v>
      </c>
      <c r="K45" s="139" t="n">
        <f aca="false">L45*0.995</f>
        <v>163.462053115389</v>
      </c>
      <c r="L45" s="139" t="n">
        <f aca="false">M45*0.995</f>
        <v>164.283470467727</v>
      </c>
      <c r="M45" s="139" t="n">
        <f aca="false">F45*0.995</f>
        <v>165.109015545454</v>
      </c>
      <c r="N45" s="140" t="n">
        <f aca="false">F45/0.995</f>
        <v>166.772571950662</v>
      </c>
      <c r="O45" s="141" t="n">
        <f aca="false">F45*0.25%</f>
        <v>0.414846772727273</v>
      </c>
    </row>
    <row r="46" s="141" customFormat="true" ht="21.75" hidden="false" customHeight="true" outlineLevel="0" collapsed="false">
      <c r="A46" s="134" t="n">
        <v>9684</v>
      </c>
      <c r="B46" s="135" t="s">
        <v>99</v>
      </c>
      <c r="C46" s="136" t="s">
        <v>227</v>
      </c>
      <c r="D46" s="146" t="n">
        <v>2</v>
      </c>
      <c r="E46" s="138" t="n">
        <f aca="false">VLOOKUP(A46,'TABELA MÃE'!B:G,6,0)</f>
        <v>75.4784454545455</v>
      </c>
      <c r="F46" s="139" t="n">
        <f aca="false">E46*D46</f>
        <v>150.956890909091</v>
      </c>
      <c r="G46" s="146" t="n">
        <v>7898647930278</v>
      </c>
      <c r="H46" s="146" t="n">
        <v>37898647930279</v>
      </c>
      <c r="I46" s="136" t="s">
        <v>202</v>
      </c>
      <c r="J46" s="136" t="s">
        <v>228</v>
      </c>
      <c r="K46" s="139" t="n">
        <f aca="false">L46*0.995</f>
        <v>148.703840442661</v>
      </c>
      <c r="L46" s="139" t="n">
        <f aca="false">M46*0.995</f>
        <v>149.451095922273</v>
      </c>
      <c r="M46" s="139" t="n">
        <f aca="false">F46*0.995</f>
        <v>150.202106454546</v>
      </c>
      <c r="N46" s="140" t="n">
        <f aca="false">F46/0.995</f>
        <v>151.715468250343</v>
      </c>
      <c r="O46" s="141" t="n">
        <f aca="false">F46*0.25%</f>
        <v>0.377392227272728</v>
      </c>
    </row>
    <row r="47" s="141" customFormat="true" ht="21.75" hidden="false" customHeight="true" outlineLevel="0" collapsed="false">
      <c r="A47" s="143"/>
      <c r="B47" s="143"/>
      <c r="C47" s="143"/>
      <c r="D47" s="143"/>
      <c r="E47" s="144"/>
      <c r="F47" s="143"/>
      <c r="G47" s="143"/>
      <c r="H47" s="143"/>
      <c r="I47" s="143"/>
      <c r="J47" s="143"/>
      <c r="K47" s="143"/>
      <c r="L47" s="143"/>
      <c r="M47" s="143"/>
      <c r="N47" s="145"/>
      <c r="O47" s="141" t="n">
        <f aca="false">F47*0.25%</f>
        <v>0</v>
      </c>
    </row>
    <row r="48" s="141" customFormat="true" ht="21.75" hidden="false" customHeight="true" outlineLevel="0" collapsed="false">
      <c r="A48" s="134" t="n">
        <v>9627</v>
      </c>
      <c r="B48" s="147" t="s">
        <v>232</v>
      </c>
      <c r="C48" s="148" t="s">
        <v>233</v>
      </c>
      <c r="D48" s="146" t="n">
        <v>25</v>
      </c>
      <c r="E48" s="138" t="n">
        <f aca="false">VLOOKUP(A48,'TABELA MÃE'!B:G,6,0)</f>
        <v>3.152</v>
      </c>
      <c r="F48" s="139" t="n">
        <f aca="false">E48*D48</f>
        <v>78.8</v>
      </c>
      <c r="G48" s="146" t="n">
        <v>7898647930018</v>
      </c>
      <c r="H48" s="146" t="n">
        <v>17898647930015</v>
      </c>
      <c r="I48" s="136" t="s">
        <v>234</v>
      </c>
      <c r="J48" s="136" t="s">
        <v>235</v>
      </c>
      <c r="K48" s="139" t="n">
        <f aca="false">L48*0.995</f>
        <v>77.62390015</v>
      </c>
      <c r="L48" s="139" t="n">
        <f aca="false">M48*0.995</f>
        <v>78.01397</v>
      </c>
      <c r="M48" s="139" t="n">
        <f aca="false">F48*0.995</f>
        <v>78.406</v>
      </c>
      <c r="N48" s="140" t="n">
        <f aca="false">F48/0.995</f>
        <v>79.1959798994975</v>
      </c>
      <c r="O48" s="141" t="n">
        <f aca="false">F48*0.25%</f>
        <v>0.197</v>
      </c>
    </row>
    <row r="49" s="141" customFormat="true" ht="21.75" hidden="false" customHeight="true" outlineLevel="0" collapsed="false">
      <c r="A49" s="134" t="n">
        <v>9628</v>
      </c>
      <c r="B49" s="149" t="s">
        <v>236</v>
      </c>
      <c r="C49" s="150" t="s">
        <v>233</v>
      </c>
      <c r="D49" s="151" t="n">
        <v>25</v>
      </c>
      <c r="E49" s="138" t="n">
        <f aca="false">VLOOKUP(A49,'TABELA MÃE'!B:G,6,0)</f>
        <v>4.752</v>
      </c>
      <c r="F49" s="152" t="n">
        <f aca="false">E49*D49</f>
        <v>118.8</v>
      </c>
      <c r="G49" s="151" t="n">
        <v>7898647930025</v>
      </c>
      <c r="H49" s="151" t="n">
        <v>17898647930022</v>
      </c>
      <c r="I49" s="153" t="s">
        <v>234</v>
      </c>
      <c r="J49" s="153" t="s">
        <v>237</v>
      </c>
      <c r="K49" s="139" t="n">
        <f aca="false">L49*0.995</f>
        <v>117.02689515</v>
      </c>
      <c r="L49" s="139" t="n">
        <f aca="false">M49*0.995</f>
        <v>117.61497</v>
      </c>
      <c r="M49" s="139" t="n">
        <f aca="false">F49*0.995</f>
        <v>118.206</v>
      </c>
      <c r="N49" s="140" t="n">
        <f aca="false">F49/0.995</f>
        <v>119.396984924623</v>
      </c>
      <c r="O49" s="141" t="n">
        <f aca="false">F49*0.25%</f>
        <v>0.297</v>
      </c>
    </row>
    <row r="50" customFormat="false" ht="23.85" hidden="false" customHeight="false" outlineLevel="0" collapsed="false">
      <c r="A50" s="154"/>
      <c r="B50" s="154"/>
      <c r="C50" s="154"/>
      <c r="D50" s="154"/>
      <c r="E50" s="155"/>
      <c r="F50" s="156"/>
      <c r="G50" s="157" t="s">
        <v>238</v>
      </c>
      <c r="H50" s="158"/>
      <c r="I50" s="158"/>
      <c r="J50" s="158"/>
      <c r="K50" s="159"/>
      <c r="L50" s="159"/>
    </row>
  </sheetData>
  <mergeCells count="1">
    <mergeCell ref="A1:N1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EF2CD"/>
    <pageSetUpPr fitToPage="true"/>
  </sheetPr>
  <dimension ref="A1:O50"/>
  <sheetViews>
    <sheetView showFormulas="false" showGridLines="true" showRowColHeaders="true" showZeros="true" rightToLeft="false" tabSelected="false" showOutlineSymbols="true" defaultGridColor="true" view="normal" topLeftCell="A31" colorId="64" zoomScale="100" zoomScaleNormal="100" zoomScalePageLayoutView="100" workbookViewId="0">
      <selection pane="topLeft" activeCell="A40" activeCellId="0" sqref="A2:J52"/>
    </sheetView>
  </sheetViews>
  <sheetFormatPr defaultColWidth="9.109375" defaultRowHeight="13.5" zeroHeight="false" outlineLevelRow="0" outlineLevelCol="0"/>
  <cols>
    <col collapsed="false" customWidth="true" hidden="false" outlineLevel="0" max="1" min="1" style="117" width="11.56"/>
    <col collapsed="false" customWidth="true" hidden="false" outlineLevel="0" max="2" min="2" style="118" width="38.11"/>
    <col collapsed="false" customWidth="true" hidden="false" outlineLevel="0" max="3" min="3" style="117" width="15.44"/>
    <col collapsed="false" customWidth="true" hidden="false" outlineLevel="0" max="4" min="4" style="117" width="13.56"/>
    <col collapsed="false" customWidth="true" hidden="false" outlineLevel="0" max="5" min="5" style="119" width="15.66"/>
    <col collapsed="false" customWidth="true" hidden="false" outlineLevel="0" max="6" min="6" style="120" width="15.56"/>
    <col collapsed="false" customWidth="true" hidden="false" outlineLevel="0" max="7" min="7" style="121" width="14.11"/>
    <col collapsed="false" customWidth="true" hidden="false" outlineLevel="0" max="8" min="8" style="117" width="14.56"/>
    <col collapsed="false" customWidth="true" hidden="false" outlineLevel="0" max="10" min="9" style="117" width="14.44"/>
    <col collapsed="false" customWidth="true" hidden="false" outlineLevel="0" max="11" min="11" style="118" width="13.34"/>
    <col collapsed="false" customWidth="true" hidden="false" outlineLevel="0" max="12" min="12" style="117" width="13.34"/>
    <col collapsed="false" customWidth="true" hidden="false" outlineLevel="0" max="13" min="13" style="118" width="13.34"/>
    <col collapsed="false" customWidth="true" hidden="false" outlineLevel="0" max="14" min="14" style="117" width="13.34"/>
    <col collapsed="false" customWidth="true" hidden="false" outlineLevel="0" max="15" min="15" style="122" width="1.44"/>
    <col collapsed="false" customWidth="false" hidden="false" outlineLevel="0" max="16384" min="16" style="122" width="9.11"/>
  </cols>
  <sheetData>
    <row r="1" customFormat="false" ht="83.25" hidden="false" customHeight="true" outlineLevel="0" collapsed="false">
      <c r="A1" s="123" t="s">
        <v>239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4"/>
    </row>
    <row r="2" s="130" customFormat="true" ht="39.55" hidden="false" customHeight="false" outlineLevel="0" collapsed="false">
      <c r="A2" s="125" t="s">
        <v>164</v>
      </c>
      <c r="B2" s="126" t="s">
        <v>178</v>
      </c>
      <c r="C2" s="126" t="s">
        <v>179</v>
      </c>
      <c r="D2" s="127" t="s">
        <v>180</v>
      </c>
      <c r="E2" s="128" t="s">
        <v>181</v>
      </c>
      <c r="F2" s="160" t="s">
        <v>182</v>
      </c>
      <c r="G2" s="126" t="s">
        <v>183</v>
      </c>
      <c r="H2" s="126" t="s">
        <v>184</v>
      </c>
      <c r="I2" s="126" t="s">
        <v>185</v>
      </c>
      <c r="J2" s="126" t="s">
        <v>186</v>
      </c>
      <c r="K2" s="161" t="s">
        <v>187</v>
      </c>
      <c r="L2" s="161" t="s">
        <v>188</v>
      </c>
      <c r="M2" s="161" t="s">
        <v>189</v>
      </c>
      <c r="N2" s="162" t="s">
        <v>190</v>
      </c>
      <c r="O2" s="129" t="n">
        <v>0.0025</v>
      </c>
    </row>
    <row r="3" customFormat="false" ht="13.5" hidden="false" customHeight="false" outlineLevel="0" collapsed="false">
      <c r="A3" s="131"/>
      <c r="B3" s="131"/>
      <c r="C3" s="131"/>
      <c r="D3" s="131"/>
      <c r="E3" s="132"/>
      <c r="F3" s="131"/>
      <c r="G3" s="131"/>
      <c r="H3" s="131"/>
      <c r="I3" s="131"/>
      <c r="J3" s="131"/>
      <c r="K3" s="131"/>
      <c r="L3" s="131"/>
      <c r="M3" s="131"/>
      <c r="N3" s="133"/>
    </row>
    <row r="4" s="141" customFormat="true" ht="21.75" hidden="false" customHeight="true" outlineLevel="0" collapsed="false">
      <c r="A4" s="134" t="n">
        <v>9645</v>
      </c>
      <c r="B4" s="135" t="s">
        <v>191</v>
      </c>
      <c r="C4" s="136" t="s">
        <v>192</v>
      </c>
      <c r="D4" s="137" t="n">
        <v>12</v>
      </c>
      <c r="E4" s="138" t="n">
        <f aca="false">VLOOKUP(A4,'TABELA MÃE'!B:H,7,0)</f>
        <v>6.62827427</v>
      </c>
      <c r="F4" s="139" t="n">
        <f aca="false">E4*D4</f>
        <v>79.53929124</v>
      </c>
      <c r="G4" s="137" t="n">
        <v>7898647930032</v>
      </c>
      <c r="H4" s="137" t="n">
        <v>17898647930039</v>
      </c>
      <c r="I4" s="136" t="s">
        <v>193</v>
      </c>
      <c r="J4" s="136" t="s">
        <v>194</v>
      </c>
      <c r="K4" s="139" t="n">
        <f aca="false">L4*0.995</f>
        <v>78.3521573758316</v>
      </c>
      <c r="L4" s="139" t="n">
        <f aca="false">M4*0.995</f>
        <v>78.745886809881</v>
      </c>
      <c r="M4" s="139" t="n">
        <f aca="false">F4*0.995</f>
        <v>79.1415947838</v>
      </c>
      <c r="N4" s="140" t="n">
        <f aca="false">F4/0.995</f>
        <v>79.9389861708543</v>
      </c>
      <c r="O4" s="141" t="n">
        <f aca="false">F4*0.25%</f>
        <v>0.1988482281</v>
      </c>
    </row>
    <row r="5" s="141" customFormat="true" ht="21.75" hidden="false" customHeight="true" outlineLevel="0" collapsed="false">
      <c r="A5" s="134" t="n">
        <v>9646</v>
      </c>
      <c r="B5" s="135" t="s">
        <v>195</v>
      </c>
      <c r="C5" s="136" t="s">
        <v>192</v>
      </c>
      <c r="D5" s="137" t="n">
        <v>12</v>
      </c>
      <c r="E5" s="138" t="n">
        <f aca="false">VLOOKUP(A5,'TABELA MÃE'!B:H,7,0)</f>
        <v>6.62827427</v>
      </c>
      <c r="F5" s="139" t="n">
        <f aca="false">E5*D5</f>
        <v>79.53929124</v>
      </c>
      <c r="G5" s="137" t="n">
        <v>7898647930049</v>
      </c>
      <c r="H5" s="137" t="n">
        <v>17898647930046</v>
      </c>
      <c r="I5" s="136" t="s">
        <v>193</v>
      </c>
      <c r="J5" s="136" t="s">
        <v>194</v>
      </c>
      <c r="K5" s="139" t="n">
        <f aca="false">L5*0.995</f>
        <v>78.3521573758316</v>
      </c>
      <c r="L5" s="139" t="n">
        <f aca="false">M5*0.995</f>
        <v>78.745886809881</v>
      </c>
      <c r="M5" s="139" t="n">
        <f aca="false">F5*0.995</f>
        <v>79.1415947838</v>
      </c>
      <c r="N5" s="140" t="n">
        <f aca="false">F5/0.995</f>
        <v>79.9389861708543</v>
      </c>
      <c r="O5" s="141" t="n">
        <f aca="false">F5*0.25%</f>
        <v>0.1988482281</v>
      </c>
    </row>
    <row r="6" s="141" customFormat="true" ht="21.75" hidden="false" customHeight="true" outlineLevel="0" collapsed="false">
      <c r="A6" s="134" t="n">
        <v>9648</v>
      </c>
      <c r="B6" s="135" t="s">
        <v>196</v>
      </c>
      <c r="C6" s="136" t="s">
        <v>197</v>
      </c>
      <c r="D6" s="137" t="n">
        <v>12</v>
      </c>
      <c r="E6" s="138" t="n">
        <f aca="false">VLOOKUP(A6,'TABELA MÃE'!B:H,7,0)</f>
        <v>6.89632863636364</v>
      </c>
      <c r="F6" s="139" t="n">
        <f aca="false">E6*D6</f>
        <v>82.7559436363637</v>
      </c>
      <c r="G6" s="137" t="n">
        <v>7898647930063</v>
      </c>
      <c r="H6" s="137" t="n">
        <v>17898647930060</v>
      </c>
      <c r="I6" s="136" t="s">
        <v>193</v>
      </c>
      <c r="J6" s="136" t="s">
        <v>194</v>
      </c>
      <c r="K6" s="139" t="n">
        <f aca="false">L6*0.995</f>
        <v>81.520800833098</v>
      </c>
      <c r="L6" s="139" t="n">
        <f aca="false">M6*0.995</f>
        <v>81.930453098591</v>
      </c>
      <c r="M6" s="139" t="n">
        <f aca="false">F6*0.995</f>
        <v>82.3421639181819</v>
      </c>
      <c r="N6" s="140" t="n">
        <f aca="false">F6/0.995</f>
        <v>83.1718026496117</v>
      </c>
      <c r="O6" s="141" t="n">
        <f aca="false">F6*0.25%</f>
        <v>0.206889859090909</v>
      </c>
    </row>
    <row r="7" s="141" customFormat="true" ht="21.75" hidden="false" customHeight="true" outlineLevel="0" collapsed="false">
      <c r="A7" s="134" t="n">
        <v>9655</v>
      </c>
      <c r="B7" s="135" t="s">
        <v>198</v>
      </c>
      <c r="C7" s="136" t="s">
        <v>199</v>
      </c>
      <c r="D7" s="137" t="n">
        <v>12</v>
      </c>
      <c r="E7" s="138" t="n">
        <f aca="false">VLOOKUP(A7,'TABELA MÃE'!B:H,7,0)</f>
        <v>7.98403452727273</v>
      </c>
      <c r="F7" s="139" t="n">
        <f aca="false">E7*D7</f>
        <v>95.8084143272728</v>
      </c>
      <c r="G7" s="137" t="n">
        <v>7898647930711</v>
      </c>
      <c r="H7" s="137" t="n">
        <v>17898647930718</v>
      </c>
      <c r="I7" s="136" t="s">
        <v>193</v>
      </c>
      <c r="J7" s="136" t="s">
        <v>194</v>
      </c>
      <c r="K7" s="139" t="n">
        <f aca="false">L7*0.995</f>
        <v>94.3784617673864</v>
      </c>
      <c r="L7" s="139" t="n">
        <f aca="false">M7*0.995</f>
        <v>94.8527253943582</v>
      </c>
      <c r="M7" s="139" t="n">
        <f aca="false">F7*0.995</f>
        <v>95.3293722556364</v>
      </c>
      <c r="N7" s="140" t="n">
        <f aca="false">F7/0.995</f>
        <v>96.2898636455003</v>
      </c>
      <c r="O7" s="141" t="n">
        <f aca="false">F7*0.25%</f>
        <v>0.239521035818182</v>
      </c>
    </row>
    <row r="8" s="141" customFormat="true" ht="21.75" hidden="false" customHeight="true" outlineLevel="0" collapsed="false">
      <c r="A8" s="134" t="n">
        <v>9653</v>
      </c>
      <c r="B8" s="135" t="s">
        <v>200</v>
      </c>
      <c r="C8" s="136" t="s">
        <v>199</v>
      </c>
      <c r="D8" s="137" t="n">
        <v>12</v>
      </c>
      <c r="E8" s="138" t="n">
        <f aca="false">VLOOKUP(A8,'TABELA MÃE'!B:H,7,0)</f>
        <v>7.54551045454546</v>
      </c>
      <c r="F8" s="139" t="n">
        <f aca="false">E8*D8</f>
        <v>90.5461254545455</v>
      </c>
      <c r="G8" s="137" t="n">
        <v>7898647930865</v>
      </c>
      <c r="H8" s="137" t="n">
        <v>17898647930862</v>
      </c>
      <c r="I8" s="136" t="s">
        <v>193</v>
      </c>
      <c r="J8" s="136" t="s">
        <v>194</v>
      </c>
      <c r="K8" s="139" t="n">
        <f aca="false">L8*0.995</f>
        <v>89.1947132138707</v>
      </c>
      <c r="L8" s="139" t="n">
        <f aca="false">M8*0.995</f>
        <v>89.6429278531364</v>
      </c>
      <c r="M8" s="139" t="n">
        <f aca="false">F8*0.995</f>
        <v>90.0933948272728</v>
      </c>
      <c r="N8" s="140" t="n">
        <f aca="false">F8/0.995</f>
        <v>91.001131110096</v>
      </c>
    </row>
    <row r="9" s="141" customFormat="true" ht="21.75" hidden="false" customHeight="true" outlineLevel="0" collapsed="false">
      <c r="A9" s="134" t="n">
        <v>9654</v>
      </c>
      <c r="B9" s="135" t="s">
        <v>201</v>
      </c>
      <c r="C9" s="136" t="s">
        <v>192</v>
      </c>
      <c r="D9" s="137" t="n">
        <v>12</v>
      </c>
      <c r="E9" s="138" t="n">
        <f aca="false">VLOOKUP(A9,'TABELA MÃE'!B:H,7,0)</f>
        <v>6.97637608818182</v>
      </c>
      <c r="F9" s="139" t="n">
        <f aca="false">E9*D9</f>
        <v>83.7165130581819</v>
      </c>
      <c r="G9" s="137" t="n">
        <v>7898647930872</v>
      </c>
      <c r="H9" s="137" t="n">
        <v>17898647930879</v>
      </c>
      <c r="I9" s="136" t="s">
        <v>193</v>
      </c>
      <c r="J9" s="136" t="s">
        <v>194</v>
      </c>
      <c r="K9" s="139" t="n">
        <f aca="false">L9*0.995</f>
        <v>82.4670336362244</v>
      </c>
      <c r="L9" s="139" t="n">
        <f aca="false">M9*0.995</f>
        <v>82.8814408404265</v>
      </c>
      <c r="M9" s="139" t="n">
        <f aca="false">F9*0.995</f>
        <v>83.2979304928909</v>
      </c>
      <c r="N9" s="140" t="n">
        <f aca="false">F9/0.995</f>
        <v>84.1371990534491</v>
      </c>
    </row>
    <row r="10" s="141" customFormat="true" ht="21.75" hidden="false" customHeight="true" outlineLevel="0" collapsed="false">
      <c r="A10" s="134" t="n">
        <v>9651</v>
      </c>
      <c r="B10" s="135" t="s">
        <v>100</v>
      </c>
      <c r="C10" s="136" t="s">
        <v>197</v>
      </c>
      <c r="D10" s="137" t="n">
        <v>12</v>
      </c>
      <c r="E10" s="138" t="n">
        <f aca="false">VLOOKUP(A10,'TABELA MÃE'!B:H,7,0)</f>
        <v>10.2934023893182</v>
      </c>
      <c r="F10" s="139" t="n">
        <f aca="false">E10*D10</f>
        <v>123.520828671818</v>
      </c>
      <c r="G10" s="137" t="n">
        <v>7898966673153</v>
      </c>
      <c r="H10" s="137" t="n">
        <v>17898966673150</v>
      </c>
      <c r="I10" s="136" t="s">
        <v>202</v>
      </c>
      <c r="J10" s="136" t="s">
        <v>194</v>
      </c>
      <c r="K10" s="139" t="n">
        <f aca="false">L10*0.995</f>
        <v>121.677264863788</v>
      </c>
      <c r="L10" s="139" t="n">
        <f aca="false">M10*0.995</f>
        <v>122.288708405817</v>
      </c>
      <c r="M10" s="139" t="n">
        <f aca="false">F10*0.995</f>
        <v>122.903224528459</v>
      </c>
      <c r="N10" s="140" t="n">
        <f aca="false">F10/0.995</f>
        <v>124.141536353586</v>
      </c>
      <c r="O10" s="141" t="n">
        <f aca="false">F10*0.25%</f>
        <v>0.308802071679546</v>
      </c>
    </row>
    <row r="11" s="141" customFormat="true" ht="21.75" hidden="false" customHeight="true" outlineLevel="0" collapsed="false">
      <c r="A11" s="134" t="n">
        <v>9652</v>
      </c>
      <c r="B11" s="135" t="s">
        <v>99</v>
      </c>
      <c r="C11" s="136" t="s">
        <v>197</v>
      </c>
      <c r="D11" s="137" t="n">
        <v>12</v>
      </c>
      <c r="E11" s="138" t="n">
        <f aca="false">VLOOKUP(A11,'TABELA MÃE'!B:H,7,0)</f>
        <v>9.57052966204545</v>
      </c>
      <c r="F11" s="139" t="n">
        <f aca="false">E11*D11</f>
        <v>114.846355944545</v>
      </c>
      <c r="G11" s="137" t="n">
        <v>7898966673160</v>
      </c>
      <c r="H11" s="137" t="n">
        <v>17898966673167</v>
      </c>
      <c r="I11" s="136" t="s">
        <v>202</v>
      </c>
      <c r="J11" s="136" t="s">
        <v>194</v>
      </c>
      <c r="K11" s="139" t="n">
        <f aca="false">L11*0.995</f>
        <v>113.132259726279</v>
      </c>
      <c r="L11" s="139" t="n">
        <f aca="false">M11*0.995</f>
        <v>113.700763543999</v>
      </c>
      <c r="M11" s="139" t="n">
        <f aca="false">F11*0.995</f>
        <v>114.272124164823</v>
      </c>
      <c r="N11" s="140" t="n">
        <f aca="false">F11/0.995</f>
        <v>115.423473311101</v>
      </c>
      <c r="O11" s="141" t="n">
        <f aca="false">F11*0.25%</f>
        <v>0.287115889861364</v>
      </c>
    </row>
    <row r="12" s="141" customFormat="true" ht="21.75" hidden="false" customHeight="true" outlineLevel="0" collapsed="false">
      <c r="A12" s="134" t="n">
        <v>9357</v>
      </c>
      <c r="B12" s="135" t="s">
        <v>203</v>
      </c>
      <c r="C12" s="136" t="s">
        <v>204</v>
      </c>
      <c r="D12" s="137" t="n">
        <v>12</v>
      </c>
      <c r="E12" s="138" t="n">
        <f aca="false">VLOOKUP(A12,'TABELA MÃE'!B:H,7,0)</f>
        <v>13.4336655757576</v>
      </c>
      <c r="F12" s="139" t="n">
        <f aca="false">E12*D12</f>
        <v>161.203986909091</v>
      </c>
      <c r="G12" s="137" t="n">
        <v>7898647930070</v>
      </c>
      <c r="H12" s="137" t="n">
        <v>17898647930077</v>
      </c>
      <c r="I12" s="136" t="s">
        <v>193</v>
      </c>
      <c r="J12" s="136" t="s">
        <v>205</v>
      </c>
      <c r="K12" s="139" t="n">
        <f aca="false">L12*0.995</f>
        <v>158.797997253975</v>
      </c>
      <c r="L12" s="139" t="n">
        <f aca="false">M12*0.995</f>
        <v>159.595977139673</v>
      </c>
      <c r="M12" s="139" t="n">
        <f aca="false">F12*0.995</f>
        <v>160.397966974546</v>
      </c>
      <c r="N12" s="140" t="n">
        <f aca="false">F12/0.995</f>
        <v>162.014057195067</v>
      </c>
      <c r="O12" s="141" t="n">
        <f aca="false">F12*0.25%</f>
        <v>0.403009967272728</v>
      </c>
    </row>
    <row r="13" s="141" customFormat="true" ht="21.75" hidden="false" customHeight="true" outlineLevel="0" collapsed="false">
      <c r="A13" s="134" t="n">
        <v>9358</v>
      </c>
      <c r="B13" s="135" t="s">
        <v>200</v>
      </c>
      <c r="C13" s="136" t="s">
        <v>206</v>
      </c>
      <c r="D13" s="137" t="n">
        <v>12</v>
      </c>
      <c r="E13" s="138" t="n">
        <f aca="false">VLOOKUP(A13,'TABELA MÃE'!B:H,7,0)</f>
        <v>14.0284564848485</v>
      </c>
      <c r="F13" s="139" t="n">
        <f aca="false">E13*D13</f>
        <v>168.341477818182</v>
      </c>
      <c r="G13" s="137" t="n">
        <v>7898966673009</v>
      </c>
      <c r="H13" s="137" t="n">
        <v>17898966673013</v>
      </c>
      <c r="I13" s="136" t="s">
        <v>193</v>
      </c>
      <c r="J13" s="136" t="s">
        <v>205</v>
      </c>
      <c r="K13" s="139" t="n">
        <f aca="false">L13*0.995</f>
        <v>165.828960219061</v>
      </c>
      <c r="L13" s="139" t="n">
        <f aca="false">M13*0.995</f>
        <v>166.662271576946</v>
      </c>
      <c r="M13" s="139" t="n">
        <f aca="false">F13*0.995</f>
        <v>167.499770429091</v>
      </c>
      <c r="N13" s="140" t="n">
        <f aca="false">F13/0.995</f>
        <v>169.187414892645</v>
      </c>
      <c r="O13" s="141" t="n">
        <f aca="false">F13*0.25%</f>
        <v>0.420853694545455</v>
      </c>
    </row>
    <row r="14" s="142" customFormat="true" ht="21.75" hidden="false" customHeight="true" outlineLevel="0" collapsed="false">
      <c r="A14" s="134" t="n">
        <v>9359</v>
      </c>
      <c r="B14" s="135" t="s">
        <v>201</v>
      </c>
      <c r="C14" s="136" t="s">
        <v>207</v>
      </c>
      <c r="D14" s="137" t="n">
        <v>12</v>
      </c>
      <c r="E14" s="138" t="n">
        <f aca="false">VLOOKUP(A14,'TABELA MÃE'!B:H,7,0)</f>
        <v>16.9164383030303</v>
      </c>
      <c r="F14" s="139" t="n">
        <f aca="false">E14*D14</f>
        <v>202.997259636364</v>
      </c>
      <c r="G14" s="137" t="n">
        <v>7898966673023</v>
      </c>
      <c r="H14" s="137" t="n">
        <v>17898966673020</v>
      </c>
      <c r="I14" s="136" t="s">
        <v>193</v>
      </c>
      <c r="J14" s="136" t="s">
        <v>205</v>
      </c>
      <c r="K14" s="139" t="n">
        <f aca="false">L14*0.995</f>
        <v>199.967500161633</v>
      </c>
      <c r="L14" s="139" t="n">
        <f aca="false">M14*0.995</f>
        <v>200.972361971491</v>
      </c>
      <c r="M14" s="139" t="n">
        <f aca="false">F14*0.995</f>
        <v>201.982273338182</v>
      </c>
      <c r="N14" s="140" t="n">
        <f aca="false">F14/0.995</f>
        <v>204.017346368205</v>
      </c>
      <c r="O14" s="142" t="n">
        <f aca="false">F14*0.25%</f>
        <v>0.507493149090909</v>
      </c>
    </row>
    <row r="15" s="141" customFormat="true" ht="21.75" hidden="false" customHeight="true" outlineLevel="0" collapsed="false">
      <c r="A15" s="134" t="n">
        <v>9656</v>
      </c>
      <c r="B15" s="135" t="s">
        <v>208</v>
      </c>
      <c r="C15" s="136" t="s">
        <v>207</v>
      </c>
      <c r="D15" s="137" t="n">
        <v>12</v>
      </c>
      <c r="E15" s="138" t="n">
        <f aca="false">VLOOKUP(A15,'TABELA MÃE'!B:H,7,0)</f>
        <v>14.0831140848485</v>
      </c>
      <c r="F15" s="139" t="n">
        <f aca="false">E15*D15</f>
        <v>168.997369018182</v>
      </c>
      <c r="G15" s="137" t="s">
        <v>209</v>
      </c>
      <c r="H15" s="137" t="s">
        <v>210</v>
      </c>
      <c r="I15" s="136" t="s">
        <v>193</v>
      </c>
      <c r="J15" s="136" t="s">
        <v>205</v>
      </c>
      <c r="K15" s="139" t="n">
        <f aca="false">L15*0.995</f>
        <v>166.475062160914</v>
      </c>
      <c r="L15" s="139" t="n">
        <f aca="false">M15*0.995</f>
        <v>167.311620262226</v>
      </c>
      <c r="M15" s="139" t="n">
        <f aca="false">F15*0.995</f>
        <v>168.152382173091</v>
      </c>
      <c r="N15" s="140" t="n">
        <f aca="false">F15/0.995</f>
        <v>169.846602028324</v>
      </c>
      <c r="O15" s="141" t="n">
        <f aca="false">F15*0.25%</f>
        <v>0.422493422545455</v>
      </c>
    </row>
    <row r="16" s="141" customFormat="true" ht="21.75" hidden="false" customHeight="true" outlineLevel="0" collapsed="false">
      <c r="A16" s="143"/>
      <c r="B16" s="143"/>
      <c r="C16" s="143"/>
      <c r="D16" s="143"/>
      <c r="E16" s="144"/>
      <c r="F16" s="143"/>
      <c r="G16" s="143"/>
      <c r="H16" s="143"/>
      <c r="I16" s="143"/>
      <c r="J16" s="143"/>
      <c r="K16" s="143"/>
      <c r="L16" s="143"/>
      <c r="M16" s="143"/>
      <c r="N16" s="145"/>
      <c r="O16" s="141" t="n">
        <f aca="false">F16*0.25%</f>
        <v>0</v>
      </c>
    </row>
    <row r="17" s="141" customFormat="true" ht="21.75" hidden="false" customHeight="true" outlineLevel="0" collapsed="false">
      <c r="A17" s="134" t="n">
        <v>9663</v>
      </c>
      <c r="B17" s="135" t="s">
        <v>203</v>
      </c>
      <c r="C17" s="136" t="s">
        <v>211</v>
      </c>
      <c r="D17" s="137" t="n">
        <v>30</v>
      </c>
      <c r="E17" s="138" t="n">
        <f aca="false">VLOOKUP(A17,'TABELA MÃE'!B:H,7,0)</f>
        <v>1.69960022606061</v>
      </c>
      <c r="F17" s="139" t="n">
        <f aca="false">E17*D17</f>
        <v>50.9880067818183</v>
      </c>
      <c r="G17" s="146" t="n">
        <v>7898647930087</v>
      </c>
      <c r="H17" s="146" t="n">
        <v>17898647930084</v>
      </c>
      <c r="I17" s="136" t="s">
        <v>193</v>
      </c>
      <c r="J17" s="136" t="s">
        <v>212</v>
      </c>
      <c r="K17" s="139" t="n">
        <f aca="false">L17*0.995</f>
        <v>50.2270044070988</v>
      </c>
      <c r="L17" s="139" t="n">
        <f aca="false">M17*0.995</f>
        <v>50.4794014141697</v>
      </c>
      <c r="M17" s="139" t="n">
        <f aca="false">F17*0.995</f>
        <v>50.7330667479092</v>
      </c>
      <c r="N17" s="140" t="n">
        <f aca="false">F17/0.995</f>
        <v>51.2442279214254</v>
      </c>
      <c r="O17" s="141" t="n">
        <f aca="false">F17*0.25%</f>
        <v>0.127470016954546</v>
      </c>
    </row>
    <row r="18" s="141" customFormat="true" ht="21.75" hidden="false" customHeight="true" outlineLevel="0" collapsed="false">
      <c r="A18" s="134" t="n">
        <v>9664</v>
      </c>
      <c r="B18" s="135" t="s">
        <v>195</v>
      </c>
      <c r="C18" s="136" t="s">
        <v>211</v>
      </c>
      <c r="D18" s="137" t="n">
        <v>30</v>
      </c>
      <c r="E18" s="138" t="n">
        <f aca="false">VLOOKUP(A18,'TABELA MÃE'!B:H,7,0)</f>
        <v>2.47300386242424</v>
      </c>
      <c r="F18" s="139" t="n">
        <f aca="false">E18*D18</f>
        <v>74.1901158727272</v>
      </c>
      <c r="G18" s="146" t="s">
        <v>213</v>
      </c>
      <c r="H18" s="146" t="s">
        <v>214</v>
      </c>
      <c r="I18" s="136" t="s">
        <v>193</v>
      </c>
      <c r="J18" s="136" t="s">
        <v>212</v>
      </c>
      <c r="K18" s="139" t="n">
        <f aca="false">L18*0.995</f>
        <v>73.0828191195623</v>
      </c>
      <c r="L18" s="139" t="n">
        <f aca="false">M18*0.995</f>
        <v>73.4500694668967</v>
      </c>
      <c r="M18" s="139" t="n">
        <f aca="false">F18*0.995</f>
        <v>73.8191652933636</v>
      </c>
      <c r="N18" s="140" t="n">
        <f aca="false">F18/0.995</f>
        <v>74.562930525354</v>
      </c>
      <c r="O18" s="141" t="n">
        <f aca="false">F18*0.25%</f>
        <v>0.185475289681818</v>
      </c>
    </row>
    <row r="19" s="141" customFormat="true" ht="21.75" hidden="false" customHeight="true" outlineLevel="0" collapsed="false">
      <c r="A19" s="134" t="n">
        <v>9665</v>
      </c>
      <c r="B19" s="135" t="s">
        <v>191</v>
      </c>
      <c r="C19" s="136" t="s">
        <v>211</v>
      </c>
      <c r="D19" s="137" t="n">
        <v>30</v>
      </c>
      <c r="E19" s="138" t="n">
        <f aca="false">VLOOKUP(A19,'TABELA MÃE'!B:H,7,0)</f>
        <v>2.47300386242424</v>
      </c>
      <c r="F19" s="139" t="n">
        <f aca="false">E19*D19</f>
        <v>74.1901158727272</v>
      </c>
      <c r="G19" s="146" t="s">
        <v>215</v>
      </c>
      <c r="H19" s="146" t="s">
        <v>216</v>
      </c>
      <c r="I19" s="136" t="s">
        <v>193</v>
      </c>
      <c r="J19" s="136" t="s">
        <v>212</v>
      </c>
      <c r="K19" s="139" t="n">
        <f aca="false">L19*0.995</f>
        <v>73.0828191195623</v>
      </c>
      <c r="L19" s="139" t="n">
        <f aca="false">M19*0.995</f>
        <v>73.4500694668967</v>
      </c>
      <c r="M19" s="139" t="n">
        <f aca="false">F19*0.995</f>
        <v>73.8191652933636</v>
      </c>
      <c r="N19" s="140" t="n">
        <f aca="false">F19/0.995</f>
        <v>74.562930525354</v>
      </c>
      <c r="O19" s="141" t="n">
        <f aca="false">F19*0.25%</f>
        <v>0.185475289681818</v>
      </c>
    </row>
    <row r="20" s="142" customFormat="true" ht="21.75" hidden="false" customHeight="true" outlineLevel="0" collapsed="false">
      <c r="A20" s="134" t="n">
        <v>9360</v>
      </c>
      <c r="B20" s="135" t="s">
        <v>195</v>
      </c>
      <c r="C20" s="136" t="s">
        <v>217</v>
      </c>
      <c r="D20" s="137" t="n">
        <v>18</v>
      </c>
      <c r="E20" s="138" t="n">
        <f aca="false">VLOOKUP(A20,'TABELA MÃE'!B:H,7,0)</f>
        <v>3.56344282828283</v>
      </c>
      <c r="F20" s="139" t="n">
        <f aca="false">E20*D20</f>
        <v>64.1419709090909</v>
      </c>
      <c r="G20" s="146" t="n">
        <v>7898647930094</v>
      </c>
      <c r="H20" s="146" t="n">
        <v>17898647930091</v>
      </c>
      <c r="I20" s="136" t="s">
        <v>193</v>
      </c>
      <c r="J20" s="136" t="s">
        <v>212</v>
      </c>
      <c r="K20" s="139" t="n">
        <f aca="false">L20*0.995</f>
        <v>63.1846439755264</v>
      </c>
      <c r="L20" s="139" t="n">
        <f aca="false">M20*0.995</f>
        <v>63.5021547492728</v>
      </c>
      <c r="M20" s="139" t="n">
        <f aca="false">F20*0.995</f>
        <v>63.8212610545455</v>
      </c>
      <c r="N20" s="140" t="n">
        <f aca="false">F20/0.995</f>
        <v>64.4642923709457</v>
      </c>
      <c r="O20" s="142" t="n">
        <f aca="false">F20*0.25%</f>
        <v>0.160354927272727</v>
      </c>
    </row>
    <row r="21" s="142" customFormat="true" ht="21.75" hidden="false" customHeight="true" outlineLevel="0" collapsed="false">
      <c r="A21" s="134" t="n">
        <v>9361</v>
      </c>
      <c r="B21" s="135" t="s">
        <v>191</v>
      </c>
      <c r="C21" s="136" t="s">
        <v>217</v>
      </c>
      <c r="D21" s="137" t="n">
        <v>18</v>
      </c>
      <c r="E21" s="138" t="n">
        <f aca="false">VLOOKUP(A21,'TABELA MÃE'!B:H,7,0)</f>
        <v>3.56344282828283</v>
      </c>
      <c r="F21" s="139" t="n">
        <f aca="false">E21*D21</f>
        <v>64.1419709090909</v>
      </c>
      <c r="G21" s="146" t="n">
        <v>7898647930100</v>
      </c>
      <c r="H21" s="146" t="n">
        <v>17898647930107</v>
      </c>
      <c r="I21" s="136" t="s">
        <v>193</v>
      </c>
      <c r="J21" s="136" t="s">
        <v>212</v>
      </c>
      <c r="K21" s="139" t="n">
        <f aca="false">L21*0.995</f>
        <v>63.1846439755264</v>
      </c>
      <c r="L21" s="139" t="n">
        <f aca="false">M21*0.995</f>
        <v>63.5021547492728</v>
      </c>
      <c r="M21" s="139" t="n">
        <f aca="false">F21*0.995</f>
        <v>63.8212610545455</v>
      </c>
      <c r="N21" s="140" t="n">
        <f aca="false">F21/0.995</f>
        <v>64.4642923709457</v>
      </c>
      <c r="O21" s="142" t="n">
        <f aca="false">F21*0.25%</f>
        <v>0.160354927272727</v>
      </c>
    </row>
    <row r="22" s="142" customFormat="true" ht="21.75" hidden="false" customHeight="true" outlineLevel="0" collapsed="false">
      <c r="A22" s="134" t="n">
        <v>9630</v>
      </c>
      <c r="B22" s="135" t="s">
        <v>203</v>
      </c>
      <c r="C22" s="136" t="s">
        <v>218</v>
      </c>
      <c r="D22" s="137" t="n">
        <v>18</v>
      </c>
      <c r="E22" s="138" t="n">
        <f aca="false">VLOOKUP(A22,'TABELA MÃE'!B:H,7,0)</f>
        <v>3.69910989737374</v>
      </c>
      <c r="F22" s="139" t="n">
        <f aca="false">E22*D22</f>
        <v>66.5839781527273</v>
      </c>
      <c r="G22" s="146" t="n">
        <v>7898647930124</v>
      </c>
      <c r="H22" s="146" t="n">
        <v>17898647930121</v>
      </c>
      <c r="I22" s="136" t="s">
        <v>193</v>
      </c>
      <c r="J22" s="136" t="s">
        <v>212</v>
      </c>
      <c r="K22" s="139" t="n">
        <f aca="false">L22*0.995</f>
        <v>65.5902039558006</v>
      </c>
      <c r="L22" s="139" t="n">
        <f aca="false">M22*0.995</f>
        <v>65.9198029706539</v>
      </c>
      <c r="M22" s="139" t="n">
        <f aca="false">F22*0.995</f>
        <v>66.2510582619637</v>
      </c>
      <c r="N22" s="140" t="n">
        <f aca="false">F22/0.995</f>
        <v>66.9185710077662</v>
      </c>
      <c r="O22" s="142" t="n">
        <f aca="false">F22*0.25%</f>
        <v>0.166459945381818</v>
      </c>
    </row>
    <row r="23" s="141" customFormat="true" ht="21.75" hidden="false" customHeight="true" outlineLevel="0" collapsed="false">
      <c r="A23" s="143"/>
      <c r="B23" s="143"/>
      <c r="C23" s="143"/>
      <c r="D23" s="143"/>
      <c r="E23" s="144"/>
      <c r="F23" s="143"/>
      <c r="G23" s="143"/>
      <c r="H23" s="143"/>
      <c r="I23" s="143"/>
      <c r="J23" s="143"/>
      <c r="K23" s="143"/>
      <c r="L23" s="143"/>
      <c r="M23" s="143"/>
      <c r="N23" s="145"/>
      <c r="O23" s="141" t="n">
        <f aca="false">F23*0.25%</f>
        <v>0</v>
      </c>
    </row>
    <row r="24" s="141" customFormat="true" ht="21.75" hidden="false" customHeight="true" outlineLevel="0" collapsed="false">
      <c r="A24" s="134" t="n">
        <v>9673</v>
      </c>
      <c r="B24" s="135" t="s">
        <v>100</v>
      </c>
      <c r="C24" s="136" t="s">
        <v>219</v>
      </c>
      <c r="D24" s="137" t="n">
        <v>30</v>
      </c>
      <c r="E24" s="138" t="n">
        <f aca="false">VLOOKUP(A24,'TABELA MÃE'!B:H,7,0)</f>
        <v>4.30580686924242</v>
      </c>
      <c r="F24" s="139" t="n">
        <f aca="false">E24*D24</f>
        <v>129.174206077273</v>
      </c>
      <c r="G24" s="146" t="n">
        <v>7898647930131</v>
      </c>
      <c r="H24" s="146" t="n">
        <v>17898647930138</v>
      </c>
      <c r="I24" s="136" t="s">
        <v>202</v>
      </c>
      <c r="J24" s="136" t="s">
        <v>212</v>
      </c>
      <c r="K24" s="139" t="n">
        <f aca="false">L24*0.995</f>
        <v>127.246264904794</v>
      </c>
      <c r="L24" s="139" t="n">
        <f aca="false">M24*0.995</f>
        <v>127.885693371652</v>
      </c>
      <c r="M24" s="139" t="n">
        <f aca="false">F24*0.995</f>
        <v>128.528335046886</v>
      </c>
      <c r="N24" s="140" t="n">
        <f aca="false">F24/0.995</f>
        <v>129.823322690726</v>
      </c>
      <c r="O24" s="141" t="n">
        <f aca="false">F24*0.25%</f>
        <v>0.322935515193182</v>
      </c>
    </row>
    <row r="25" s="141" customFormat="true" ht="21.75" hidden="false" customHeight="true" outlineLevel="0" collapsed="false">
      <c r="A25" s="134" t="n">
        <v>10057</v>
      </c>
      <c r="B25" s="135" t="s">
        <v>99</v>
      </c>
      <c r="C25" s="136" t="s">
        <v>219</v>
      </c>
      <c r="D25" s="137" t="n">
        <v>30</v>
      </c>
      <c r="E25" s="138" t="n">
        <f aca="false">VLOOKUP(A25,'TABELA MÃE'!B:H,7,0)</f>
        <v>3.94437050560606</v>
      </c>
      <c r="F25" s="139" t="n">
        <f aca="false">E25*D25</f>
        <v>118.331115168182</v>
      </c>
      <c r="G25" s="146" t="n">
        <v>7898647930148</v>
      </c>
      <c r="H25" s="146" t="n">
        <v>17898647930145</v>
      </c>
      <c r="I25" s="136" t="s">
        <v>202</v>
      </c>
      <c r="J25" s="136" t="s">
        <v>212</v>
      </c>
      <c r="K25" s="139" t="n">
        <f aca="false">L25*0.995</f>
        <v>116.565008482907</v>
      </c>
      <c r="L25" s="139" t="n">
        <f aca="false">M25*0.995</f>
        <v>117.150762294379</v>
      </c>
      <c r="M25" s="139" t="n">
        <f aca="false">F25*0.995</f>
        <v>117.739459592341</v>
      </c>
      <c r="N25" s="140" t="n">
        <f aca="false">F25/0.995</f>
        <v>118.92574388762</v>
      </c>
      <c r="O25" s="141" t="n">
        <f aca="false">F25*0.25%</f>
        <v>0.295827787920455</v>
      </c>
    </row>
    <row r="26" s="141" customFormat="true" ht="21.75" hidden="false" customHeight="true" outlineLevel="0" collapsed="false">
      <c r="A26" s="143"/>
      <c r="B26" s="143"/>
      <c r="C26" s="143"/>
      <c r="D26" s="143"/>
      <c r="E26" s="144"/>
      <c r="F26" s="143"/>
      <c r="G26" s="143"/>
      <c r="H26" s="143"/>
      <c r="I26" s="143"/>
      <c r="J26" s="143"/>
      <c r="K26" s="143"/>
      <c r="L26" s="143"/>
      <c r="M26" s="143"/>
      <c r="N26" s="145"/>
      <c r="O26" s="141" t="n">
        <f aca="false">F26*0.25%</f>
        <v>0</v>
      </c>
    </row>
    <row r="27" s="142" customFormat="true" ht="21.75" hidden="false" customHeight="true" outlineLevel="0" collapsed="false">
      <c r="A27" s="134" t="n">
        <v>9565</v>
      </c>
      <c r="B27" s="135" t="s">
        <v>203</v>
      </c>
      <c r="C27" s="136" t="s">
        <v>220</v>
      </c>
      <c r="D27" s="137" t="n">
        <v>36</v>
      </c>
      <c r="E27" s="138" t="n">
        <f aca="false">VLOOKUP(A27,'TABELA MÃE'!B:H,7,0)</f>
        <v>1.32014121050505</v>
      </c>
      <c r="F27" s="139" t="n">
        <f aca="false">E27*D27</f>
        <v>47.5250835781818</v>
      </c>
      <c r="G27" s="146" t="n">
        <v>7898647930476</v>
      </c>
      <c r="H27" s="146" t="n">
        <v>17898647930473</v>
      </c>
      <c r="I27" s="136" t="s">
        <v>193</v>
      </c>
      <c r="J27" s="136" t="s">
        <v>212</v>
      </c>
      <c r="K27" s="139" t="n">
        <f aca="false">L27*0.995</f>
        <v>46.815765765142</v>
      </c>
      <c r="L27" s="139" t="n">
        <f aca="false">M27*0.995</f>
        <v>47.0510208694894</v>
      </c>
      <c r="M27" s="139" t="n">
        <f aca="false">F27*0.995</f>
        <v>47.2874581602909</v>
      </c>
      <c r="N27" s="140" t="n">
        <f aca="false">F27/0.995</f>
        <v>47.7639030936501</v>
      </c>
      <c r="O27" s="142" t="n">
        <f aca="false">F27*0.25%</f>
        <v>0.118812708945455</v>
      </c>
    </row>
    <row r="28" s="141" customFormat="true" ht="21.75" hidden="false" customHeight="true" outlineLevel="0" collapsed="false">
      <c r="A28" s="143"/>
      <c r="B28" s="143"/>
      <c r="C28" s="143"/>
      <c r="D28" s="143"/>
      <c r="E28" s="144"/>
      <c r="F28" s="143"/>
      <c r="G28" s="143"/>
      <c r="H28" s="143"/>
      <c r="I28" s="143"/>
      <c r="J28" s="143"/>
      <c r="K28" s="143"/>
      <c r="L28" s="143"/>
      <c r="M28" s="143"/>
      <c r="N28" s="145"/>
      <c r="O28" s="141" t="n">
        <f aca="false">F28*0.25%</f>
        <v>0</v>
      </c>
    </row>
    <row r="29" s="141" customFormat="true" ht="21.75" hidden="false" customHeight="true" outlineLevel="0" collapsed="false">
      <c r="A29" s="134" t="n">
        <v>9674</v>
      </c>
      <c r="B29" s="135" t="s">
        <v>221</v>
      </c>
      <c r="C29" s="136" t="s">
        <v>222</v>
      </c>
      <c r="D29" s="137" t="n">
        <v>6</v>
      </c>
      <c r="E29" s="138" t="n">
        <f aca="false">VLOOKUP(A29,'TABELA MÃE'!B:H,7,0)</f>
        <v>23.0863675757576</v>
      </c>
      <c r="F29" s="139" t="n">
        <f aca="false">E29*D29</f>
        <v>138.518205454546</v>
      </c>
      <c r="G29" s="146" t="n">
        <v>7898647930308</v>
      </c>
      <c r="H29" s="146" t="n">
        <v>17898647930305</v>
      </c>
      <c r="I29" s="136" t="s">
        <v>193</v>
      </c>
      <c r="J29" s="136" t="s">
        <v>223</v>
      </c>
      <c r="K29" s="139" t="n">
        <f aca="false">L29*0.995</f>
        <v>136.450803923361</v>
      </c>
      <c r="L29" s="139" t="n">
        <f aca="false">M29*0.995</f>
        <v>137.136486355137</v>
      </c>
      <c r="M29" s="139" t="n">
        <f aca="false">F29*0.995</f>
        <v>137.825614427273</v>
      </c>
      <c r="N29" s="140" t="n">
        <f aca="false">F29/0.995</f>
        <v>139.214276838739</v>
      </c>
      <c r="O29" s="141" t="n">
        <f aca="false">F29*0.25%</f>
        <v>0.346295513636364</v>
      </c>
    </row>
    <row r="30" s="141" customFormat="true" ht="21.75" hidden="false" customHeight="true" outlineLevel="0" collapsed="false">
      <c r="A30" s="134" t="n">
        <v>9675</v>
      </c>
      <c r="B30" s="135" t="s">
        <v>195</v>
      </c>
      <c r="C30" s="136" t="s">
        <v>222</v>
      </c>
      <c r="D30" s="137" t="n">
        <v>6</v>
      </c>
      <c r="E30" s="138" t="n">
        <f aca="false">VLOOKUP(A30,'TABELA MÃE'!B:H,7,0)</f>
        <v>23.0863675757576</v>
      </c>
      <c r="F30" s="139" t="n">
        <f aca="false">E30*D30</f>
        <v>138.518205454546</v>
      </c>
      <c r="G30" s="146" t="n">
        <v>7898647930377</v>
      </c>
      <c r="H30" s="146" t="n">
        <v>17898647930312</v>
      </c>
      <c r="I30" s="136" t="s">
        <v>193</v>
      </c>
      <c r="J30" s="136" t="s">
        <v>223</v>
      </c>
      <c r="K30" s="139" t="n">
        <f aca="false">L30*0.995</f>
        <v>136.450803923361</v>
      </c>
      <c r="L30" s="139" t="n">
        <f aca="false">M30*0.995</f>
        <v>137.136486355137</v>
      </c>
      <c r="M30" s="139" t="n">
        <f aca="false">F30*0.995</f>
        <v>137.825614427273</v>
      </c>
      <c r="N30" s="140" t="n">
        <f aca="false">F30/0.995</f>
        <v>139.214276838739</v>
      </c>
      <c r="O30" s="141" t="n">
        <f aca="false">F30*0.25%</f>
        <v>0.346295513636364</v>
      </c>
    </row>
    <row r="31" s="141" customFormat="true" ht="21.75" hidden="false" customHeight="true" outlineLevel="0" collapsed="false">
      <c r="A31" s="134" t="n">
        <v>9677</v>
      </c>
      <c r="B31" s="135" t="s">
        <v>224</v>
      </c>
      <c r="C31" s="136" t="s">
        <v>222</v>
      </c>
      <c r="D31" s="137" t="n">
        <v>6</v>
      </c>
      <c r="E31" s="138" t="n">
        <f aca="false">VLOOKUP(A31,'TABELA MÃE'!B:H,7,0)</f>
        <v>23.6357157575758</v>
      </c>
      <c r="F31" s="139" t="n">
        <f aca="false">E31*D31</f>
        <v>141.814294545455</v>
      </c>
      <c r="G31" s="146" t="n">
        <v>7898647930346</v>
      </c>
      <c r="H31" s="146" t="n">
        <v>17898647930343</v>
      </c>
      <c r="I31" s="136" t="s">
        <v>193</v>
      </c>
      <c r="J31" s="136" t="s">
        <v>223</v>
      </c>
      <c r="K31" s="139" t="n">
        <f aca="false">L31*0.995</f>
        <v>139.697698472577</v>
      </c>
      <c r="L31" s="139" t="n">
        <f aca="false">M31*0.995</f>
        <v>140.399696957364</v>
      </c>
      <c r="M31" s="139" t="n">
        <f aca="false">F31*0.995</f>
        <v>141.105223072728</v>
      </c>
      <c r="N31" s="140" t="n">
        <f aca="false">F31/0.995</f>
        <v>142.526929191412</v>
      </c>
      <c r="O31" s="141" t="n">
        <f aca="false">F31*0.25%</f>
        <v>0.354535736363637</v>
      </c>
    </row>
    <row r="32" s="141" customFormat="true" ht="21.75" hidden="false" customHeight="true" outlineLevel="0" collapsed="false">
      <c r="A32" s="134" t="n">
        <v>9678</v>
      </c>
      <c r="B32" s="135" t="s">
        <v>225</v>
      </c>
      <c r="C32" s="136" t="s">
        <v>222</v>
      </c>
      <c r="D32" s="137" t="n">
        <v>6</v>
      </c>
      <c r="E32" s="138" t="n">
        <f aca="false">VLOOKUP(A32,'TABELA MÃE'!B:H,7,0)</f>
        <v>20.3573475757576</v>
      </c>
      <c r="F32" s="139" t="n">
        <f aca="false">E32*D32</f>
        <v>122.144085454546</v>
      </c>
      <c r="G32" s="146" t="n">
        <v>7898647930353</v>
      </c>
      <c r="H32" s="146" t="n">
        <v>17898647930350</v>
      </c>
      <c r="I32" s="136" t="s">
        <v>193</v>
      </c>
      <c r="J32" s="136" t="s">
        <v>223</v>
      </c>
      <c r="K32" s="139" t="n">
        <f aca="false">L32*0.995</f>
        <v>120.321069711126</v>
      </c>
      <c r="L32" s="139" t="n">
        <f aca="false">M32*0.995</f>
        <v>120.925698202137</v>
      </c>
      <c r="M32" s="139" t="n">
        <f aca="false">F32*0.995</f>
        <v>121.533365027273</v>
      </c>
      <c r="N32" s="140" t="n">
        <f aca="false">F32/0.995</f>
        <v>122.757874828689</v>
      </c>
      <c r="O32" s="141" t="n">
        <f aca="false">F32*0.25%</f>
        <v>0.305360213636364</v>
      </c>
    </row>
    <row r="33" s="141" customFormat="true" ht="21.75" hidden="false" customHeight="true" outlineLevel="0" collapsed="false">
      <c r="A33" s="134" t="n">
        <v>9679</v>
      </c>
      <c r="B33" s="135" t="s">
        <v>226</v>
      </c>
      <c r="C33" s="136" t="s">
        <v>222</v>
      </c>
      <c r="D33" s="137" t="n">
        <v>6</v>
      </c>
      <c r="E33" s="138" t="n">
        <f aca="false">VLOOKUP(A33,'TABELA MÃE'!B:H,7,0)</f>
        <v>13.3221466666667</v>
      </c>
      <c r="F33" s="139" t="n">
        <f aca="false">E33*D33</f>
        <v>79.9328800000002</v>
      </c>
      <c r="G33" s="146" t="n">
        <v>7898647930360</v>
      </c>
      <c r="H33" s="146" t="n">
        <v>17898647930367</v>
      </c>
      <c r="I33" s="136" t="s">
        <v>193</v>
      </c>
      <c r="J33" s="136" t="s">
        <v>223</v>
      </c>
      <c r="K33" s="139" t="n">
        <f aca="false">L33*0.995</f>
        <v>78.7398717743902</v>
      </c>
      <c r="L33" s="139" t="n">
        <f aca="false">M33*0.995</f>
        <v>79.1355495220002</v>
      </c>
      <c r="M33" s="139" t="n">
        <f aca="false">F33*0.995</f>
        <v>79.5332156000002</v>
      </c>
      <c r="N33" s="140" t="n">
        <f aca="false">F33/0.995</f>
        <v>80.3345527638193</v>
      </c>
      <c r="O33" s="141" t="n">
        <f aca="false">F33*0.25%</f>
        <v>0.199832200000001</v>
      </c>
    </row>
    <row r="34" s="141" customFormat="true" ht="21.75" hidden="false" customHeight="true" outlineLevel="0" collapsed="false">
      <c r="A34" s="134" t="n">
        <v>9680</v>
      </c>
      <c r="B34" s="135" t="s">
        <v>100</v>
      </c>
      <c r="C34" s="136" t="s">
        <v>222</v>
      </c>
      <c r="D34" s="137" t="n">
        <v>6</v>
      </c>
      <c r="E34" s="138" t="n">
        <f aca="false">VLOOKUP(A34,'TABELA MÃE'!B:H,7,0)</f>
        <v>37.8013114043939</v>
      </c>
      <c r="F34" s="139" t="n">
        <f aca="false">E34*D34</f>
        <v>226.807868426363</v>
      </c>
      <c r="G34" s="146" t="n">
        <v>7898647930445</v>
      </c>
      <c r="H34" s="146" t="n">
        <v>17898647930442</v>
      </c>
      <c r="I34" s="136" t="s">
        <v>202</v>
      </c>
      <c r="J34" s="136" t="s">
        <v>223</v>
      </c>
      <c r="K34" s="139" t="n">
        <f aca="false">L34*0.995</f>
        <v>223.422732639116</v>
      </c>
      <c r="L34" s="139" t="n">
        <f aca="false">M34*0.995</f>
        <v>224.54545993881</v>
      </c>
      <c r="M34" s="139" t="n">
        <f aca="false">F34*0.995</f>
        <v>225.673829084232</v>
      </c>
      <c r="N34" s="140" t="n">
        <f aca="false">F34/0.995</f>
        <v>227.947606458657</v>
      </c>
      <c r="O34" s="141" t="n">
        <f aca="false">F34*0.25%</f>
        <v>0.567019671065909</v>
      </c>
    </row>
    <row r="35" s="141" customFormat="true" ht="21.75" hidden="false" customHeight="true" outlineLevel="0" collapsed="false">
      <c r="A35" s="134" t="n">
        <v>9681</v>
      </c>
      <c r="B35" s="135" t="s">
        <v>99</v>
      </c>
      <c r="C35" s="136" t="s">
        <v>222</v>
      </c>
      <c r="D35" s="137" t="n">
        <v>6</v>
      </c>
      <c r="E35" s="138" t="n">
        <f aca="false">VLOOKUP(A35,'TABELA MÃE'!B:H,7,0)</f>
        <v>34.1508041316667</v>
      </c>
      <c r="F35" s="139" t="n">
        <f aca="false">E35*D35</f>
        <v>204.90482479</v>
      </c>
      <c r="G35" s="146" t="n">
        <v>7898647930452</v>
      </c>
      <c r="H35" s="146" t="n">
        <v>17898647930459</v>
      </c>
      <c r="I35" s="136" t="s">
        <v>202</v>
      </c>
      <c r="J35" s="136" t="s">
        <v>223</v>
      </c>
      <c r="K35" s="139" t="n">
        <f aca="false">L35*0.995</f>
        <v>201.846594666906</v>
      </c>
      <c r="L35" s="139" t="n">
        <f aca="false">M35*0.995</f>
        <v>202.86089916272</v>
      </c>
      <c r="M35" s="139" t="n">
        <f aca="false">F35*0.995</f>
        <v>203.88030066605</v>
      </c>
      <c r="N35" s="140" t="n">
        <f aca="false">F35/0.995</f>
        <v>205.934497276382</v>
      </c>
      <c r="O35" s="141" t="n">
        <f aca="false">F35*0.25%</f>
        <v>0.512262061975001</v>
      </c>
    </row>
    <row r="36" s="141" customFormat="true" ht="21.75" hidden="false" customHeight="true" outlineLevel="0" collapsed="false">
      <c r="A36" s="143"/>
      <c r="B36" s="143"/>
      <c r="C36" s="143"/>
      <c r="D36" s="143"/>
      <c r="E36" s="144"/>
      <c r="F36" s="143"/>
      <c r="G36" s="143"/>
      <c r="H36" s="143"/>
      <c r="I36" s="143"/>
      <c r="J36" s="143"/>
      <c r="K36" s="143"/>
      <c r="L36" s="143"/>
      <c r="M36" s="143"/>
      <c r="N36" s="145"/>
      <c r="O36" s="141" t="n">
        <f aca="false">F36*0.25%</f>
        <v>0</v>
      </c>
    </row>
    <row r="37" s="141" customFormat="true" ht="21.75" hidden="false" customHeight="true" outlineLevel="0" collapsed="false">
      <c r="A37" s="134" t="n">
        <v>9682</v>
      </c>
      <c r="B37" s="135" t="s">
        <v>221</v>
      </c>
      <c r="C37" s="136" t="s">
        <v>227</v>
      </c>
      <c r="D37" s="137" t="n">
        <v>2</v>
      </c>
      <c r="E37" s="138" t="n">
        <f aca="false">VLOOKUP(A37,'TABELA MÃE'!B:H,7,0)</f>
        <v>51.5236484545454</v>
      </c>
      <c r="F37" s="139" t="n">
        <f aca="false">E37*D37</f>
        <v>103.047296909091</v>
      </c>
      <c r="G37" s="146" t="n">
        <v>7898647930155</v>
      </c>
      <c r="H37" s="146" t="n">
        <v>37898647930156</v>
      </c>
      <c r="I37" s="136" t="s">
        <v>193</v>
      </c>
      <c r="J37" s="136" t="s">
        <v>228</v>
      </c>
      <c r="K37" s="139" t="n">
        <f aca="false">L37*0.995</f>
        <v>101.509303121811</v>
      </c>
      <c r="L37" s="139" t="n">
        <f aca="false">M37*0.995</f>
        <v>102.019400122423</v>
      </c>
      <c r="M37" s="139" t="n">
        <f aca="false">F37*0.995</f>
        <v>102.532060424545</v>
      </c>
      <c r="N37" s="140" t="n">
        <f aca="false">F37/0.995</f>
        <v>103.565122521699</v>
      </c>
      <c r="O37" s="141" t="n">
        <f aca="false">F37*0.25%</f>
        <v>0.257618242272727</v>
      </c>
    </row>
    <row r="38" s="141" customFormat="true" ht="21.75" hidden="false" customHeight="true" outlineLevel="0" collapsed="false">
      <c r="A38" s="134" t="n">
        <v>9685</v>
      </c>
      <c r="B38" s="135" t="s">
        <v>195</v>
      </c>
      <c r="C38" s="136" t="s">
        <v>227</v>
      </c>
      <c r="D38" s="137" t="n">
        <v>2</v>
      </c>
      <c r="E38" s="138" t="n">
        <f aca="false">VLOOKUP(A38,'TABELA MÃE'!B:H,7,0)</f>
        <v>51.5236484545454</v>
      </c>
      <c r="F38" s="139" t="n">
        <f aca="false">E38*D38</f>
        <v>103.047296909091</v>
      </c>
      <c r="G38" s="146" t="n">
        <v>7898647930162</v>
      </c>
      <c r="H38" s="146" t="n">
        <v>37898647930163</v>
      </c>
      <c r="I38" s="136" t="s">
        <v>193</v>
      </c>
      <c r="J38" s="136" t="s">
        <v>228</v>
      </c>
      <c r="K38" s="139" t="n">
        <f aca="false">L38*0.995</f>
        <v>101.509303121811</v>
      </c>
      <c r="L38" s="139" t="n">
        <f aca="false">M38*0.995</f>
        <v>102.019400122423</v>
      </c>
      <c r="M38" s="139" t="n">
        <f aca="false">F38*0.995</f>
        <v>102.532060424545</v>
      </c>
      <c r="N38" s="140" t="n">
        <f aca="false">F38/0.995</f>
        <v>103.565122521699</v>
      </c>
      <c r="O38" s="141" t="n">
        <f aca="false">F38*0.25%</f>
        <v>0.257618242272727</v>
      </c>
    </row>
    <row r="39" s="141" customFormat="true" ht="21.75" hidden="false" customHeight="true" outlineLevel="0" collapsed="false">
      <c r="A39" s="134" t="n">
        <v>9688</v>
      </c>
      <c r="B39" s="135" t="s">
        <v>229</v>
      </c>
      <c r="C39" s="136" t="s">
        <v>227</v>
      </c>
      <c r="D39" s="137" t="n">
        <v>2</v>
      </c>
      <c r="E39" s="138" t="n">
        <f aca="false">VLOOKUP(A39,'TABELA MÃE'!B:H,7,0)</f>
        <v>55.96228</v>
      </c>
      <c r="F39" s="139" t="n">
        <f aca="false">E39*D39</f>
        <v>111.92456</v>
      </c>
      <c r="G39" s="146" t="n">
        <v>7898647930186</v>
      </c>
      <c r="H39" s="146" t="n">
        <v>37898647930187</v>
      </c>
      <c r="I39" s="136" t="s">
        <v>193</v>
      </c>
      <c r="J39" s="136" t="s">
        <v>228</v>
      </c>
      <c r="K39" s="139" t="n">
        <f aca="false">L39*0.995</f>
        <v>110.25407195143</v>
      </c>
      <c r="L39" s="139" t="n">
        <f aca="false">M39*0.995</f>
        <v>110.808112514</v>
      </c>
      <c r="M39" s="139" t="n">
        <f aca="false">F39*0.995</f>
        <v>111.3649372</v>
      </c>
      <c r="N39" s="140" t="n">
        <f aca="false">F39/0.995</f>
        <v>112.486994974874</v>
      </c>
      <c r="O39" s="141" t="n">
        <f aca="false">F39*0.25%</f>
        <v>0.2798114</v>
      </c>
    </row>
    <row r="40" s="141" customFormat="true" ht="21.75" hidden="false" customHeight="true" outlineLevel="0" collapsed="false">
      <c r="A40" s="134" t="n">
        <v>9683</v>
      </c>
      <c r="B40" s="135" t="s">
        <v>230</v>
      </c>
      <c r="C40" s="136" t="s">
        <v>227</v>
      </c>
      <c r="D40" s="137" t="n">
        <v>2</v>
      </c>
      <c r="E40" s="138" t="n">
        <f aca="false">VLOOKUP(A40,'TABELA MÃE'!B:H,7,0)</f>
        <v>70.7004618181818</v>
      </c>
      <c r="F40" s="139" t="n">
        <f aca="false">E40*D40</f>
        <v>141.400923636364</v>
      </c>
      <c r="G40" s="146" t="n">
        <v>7898647930186</v>
      </c>
      <c r="H40" s="146" t="n">
        <v>37898647930187</v>
      </c>
      <c r="I40" s="136" t="s">
        <v>193</v>
      </c>
      <c r="J40" s="136" t="s">
        <v>228</v>
      </c>
      <c r="K40" s="139" t="n">
        <f aca="false">L40*0.995</f>
        <v>139.290497175975</v>
      </c>
      <c r="L40" s="139" t="n">
        <f aca="false">M40*0.995</f>
        <v>139.990449423091</v>
      </c>
      <c r="M40" s="139" t="n">
        <f aca="false">F40*0.995</f>
        <v>140.693919018182</v>
      </c>
      <c r="N40" s="140" t="n">
        <f aca="false">F40/0.995</f>
        <v>142.111481041571</v>
      </c>
      <c r="O40" s="141" t="n">
        <f aca="false">F40*0.25%</f>
        <v>0.353502309090909</v>
      </c>
    </row>
    <row r="41" s="141" customFormat="true" ht="21.75" hidden="false" customHeight="true" outlineLevel="0" collapsed="false">
      <c r="A41" s="134" t="n">
        <v>9686</v>
      </c>
      <c r="B41" s="135" t="s">
        <v>231</v>
      </c>
      <c r="C41" s="136" t="s">
        <v>227</v>
      </c>
      <c r="D41" s="137" t="n">
        <v>2</v>
      </c>
      <c r="E41" s="138" t="n">
        <f aca="false">VLOOKUP(A41,'TABELA MÃE'!B:H,7,0)</f>
        <v>70.7004618181818</v>
      </c>
      <c r="F41" s="139" t="n">
        <f aca="false">E41*D41</f>
        <v>141.400923636364</v>
      </c>
      <c r="G41" s="146" t="n">
        <v>7898647930186</v>
      </c>
      <c r="H41" s="146" t="n">
        <v>37898647930187</v>
      </c>
      <c r="I41" s="136" t="s">
        <v>193</v>
      </c>
      <c r="J41" s="136" t="s">
        <v>228</v>
      </c>
      <c r="K41" s="139" t="n">
        <f aca="false">L41*0.995</f>
        <v>139.290497175975</v>
      </c>
      <c r="L41" s="139" t="n">
        <f aca="false">M41*0.995</f>
        <v>139.990449423091</v>
      </c>
      <c r="M41" s="139" t="n">
        <f aca="false">F41*0.995</f>
        <v>140.693919018182</v>
      </c>
      <c r="N41" s="140" t="n">
        <f aca="false">F41/0.995</f>
        <v>142.111481041571</v>
      </c>
      <c r="O41" s="141" t="n">
        <f aca="false">F41*0.25%</f>
        <v>0.353502309090909</v>
      </c>
    </row>
    <row r="42" s="141" customFormat="true" ht="21.75" hidden="false" customHeight="true" outlineLevel="0" collapsed="false">
      <c r="A42" s="134" t="n">
        <v>9733</v>
      </c>
      <c r="B42" s="135" t="s">
        <v>224</v>
      </c>
      <c r="C42" s="136" t="s">
        <v>227</v>
      </c>
      <c r="D42" s="137" t="n">
        <v>2</v>
      </c>
      <c r="E42" s="138" t="n">
        <f aca="false">VLOOKUP(A42,'TABELA MÃE'!B:H,7,0)</f>
        <v>52.6114666363636</v>
      </c>
      <c r="F42" s="139" t="n">
        <f aca="false">E42*D42</f>
        <v>105.222933272727</v>
      </c>
      <c r="G42" s="146" t="n">
        <v>7898647930193</v>
      </c>
      <c r="H42" s="146" t="n">
        <v>37898647930194</v>
      </c>
      <c r="I42" s="136" t="s">
        <v>193</v>
      </c>
      <c r="J42" s="136" t="s">
        <v>228</v>
      </c>
      <c r="K42" s="139" t="n">
        <f aca="false">L42*0.995</f>
        <v>103.652467840765</v>
      </c>
      <c r="L42" s="139" t="n">
        <f aca="false">M42*0.995</f>
        <v>104.173334513332</v>
      </c>
      <c r="M42" s="139" t="n">
        <f aca="false">F42*0.995</f>
        <v>104.696818606364</v>
      </c>
      <c r="N42" s="140" t="n">
        <f aca="false">F42/0.995</f>
        <v>105.751691731384</v>
      </c>
      <c r="O42" s="141" t="n">
        <f aca="false">F42*0.25%</f>
        <v>0.263057333181818</v>
      </c>
    </row>
    <row r="43" s="141" customFormat="true" ht="21.75" hidden="false" customHeight="true" outlineLevel="0" collapsed="false">
      <c r="A43" s="134" t="n">
        <v>9690</v>
      </c>
      <c r="B43" s="135" t="s">
        <v>225</v>
      </c>
      <c r="C43" s="136" t="s">
        <v>227</v>
      </c>
      <c r="D43" s="137" t="n">
        <v>2</v>
      </c>
      <c r="E43" s="138" t="n">
        <f aca="false">VLOOKUP(A43,'TABELA MÃE'!B:H,7,0)</f>
        <v>46.1196484545454</v>
      </c>
      <c r="F43" s="139" t="n">
        <f aca="false">E43*D43</f>
        <v>92.2392969090908</v>
      </c>
      <c r="G43" s="146" t="n">
        <v>7898647930209</v>
      </c>
      <c r="H43" s="146" t="n">
        <v>37898647930200</v>
      </c>
      <c r="I43" s="136" t="s">
        <v>193</v>
      </c>
      <c r="J43" s="136" t="s">
        <v>228</v>
      </c>
      <c r="K43" s="139" t="n">
        <f aca="false">L43*0.995</f>
        <v>90.8626138728105</v>
      </c>
      <c r="L43" s="139" t="n">
        <f aca="false">M43*0.995</f>
        <v>91.3192099224226</v>
      </c>
      <c r="M43" s="139" t="n">
        <f aca="false">F43*0.995</f>
        <v>91.7781004245453</v>
      </c>
      <c r="N43" s="140" t="n">
        <f aca="false">F43/0.995</f>
        <v>92.7028109639104</v>
      </c>
      <c r="O43" s="141" t="n">
        <f aca="false">F43*0.25%</f>
        <v>0.230598242272727</v>
      </c>
    </row>
    <row r="44" s="142" customFormat="true" ht="21.75" hidden="false" customHeight="true" outlineLevel="0" collapsed="false">
      <c r="A44" s="134" t="n">
        <v>9564</v>
      </c>
      <c r="B44" s="135" t="s">
        <v>226</v>
      </c>
      <c r="C44" s="136" t="s">
        <v>227</v>
      </c>
      <c r="D44" s="137" t="n">
        <v>2</v>
      </c>
      <c r="E44" s="138" t="n">
        <f aca="false">VLOOKUP(A44,'TABELA MÃE'!B:H,7,0)</f>
        <v>32.1885575454545</v>
      </c>
      <c r="F44" s="139" t="n">
        <f aca="false">E44*D44</f>
        <v>64.377115090909</v>
      </c>
      <c r="G44" s="146" t="n">
        <v>7898647930216</v>
      </c>
      <c r="H44" s="146" t="n">
        <v>37898647930217</v>
      </c>
      <c r="I44" s="136" t="s">
        <v>193</v>
      </c>
      <c r="J44" s="136" t="s">
        <v>228</v>
      </c>
      <c r="K44" s="139" t="n">
        <f aca="false">L44*0.995</f>
        <v>63.4162786010378</v>
      </c>
      <c r="L44" s="139" t="n">
        <f aca="false">M44*0.995</f>
        <v>63.7349533678772</v>
      </c>
      <c r="M44" s="139" t="n">
        <f aca="false">F44*0.995</f>
        <v>64.0552295154545</v>
      </c>
      <c r="N44" s="140" t="n">
        <f aca="false">F44/0.995</f>
        <v>64.7006181818181</v>
      </c>
      <c r="O44" s="142" t="n">
        <f aca="false">F44*0.25%</f>
        <v>0.160942787727273</v>
      </c>
    </row>
    <row r="45" s="141" customFormat="true" ht="21.75" hidden="false" customHeight="true" outlineLevel="0" collapsed="false">
      <c r="A45" s="134" t="n">
        <v>9734</v>
      </c>
      <c r="B45" s="135" t="s">
        <v>100</v>
      </c>
      <c r="C45" s="136" t="s">
        <v>227</v>
      </c>
      <c r="D45" s="137" t="n">
        <v>2</v>
      </c>
      <c r="E45" s="138" t="n">
        <f aca="false">VLOOKUP(A45,'TABELA MÃE'!B:H,7,0)</f>
        <v>80.0654271363636</v>
      </c>
      <c r="F45" s="139" t="n">
        <f aca="false">E45*D45</f>
        <v>160.130854272727</v>
      </c>
      <c r="G45" s="146" t="n">
        <v>7898647930261</v>
      </c>
      <c r="H45" s="146" t="n">
        <v>37898647930262</v>
      </c>
      <c r="I45" s="136" t="s">
        <v>202</v>
      </c>
      <c r="J45" s="136" t="s">
        <v>228</v>
      </c>
      <c r="K45" s="139" t="n">
        <f aca="false">L45*0.995</f>
        <v>157.74088125635</v>
      </c>
      <c r="L45" s="139" t="n">
        <f aca="false">M45*0.995</f>
        <v>158.533549001357</v>
      </c>
      <c r="M45" s="139" t="n">
        <f aca="false">F45*0.995</f>
        <v>159.330200001364</v>
      </c>
      <c r="N45" s="140" t="n">
        <f aca="false">F45/0.995</f>
        <v>160.935531932389</v>
      </c>
      <c r="O45" s="141" t="n">
        <f aca="false">F45*0.25%</f>
        <v>0.400327135681818</v>
      </c>
    </row>
    <row r="46" s="141" customFormat="true" ht="21.75" hidden="false" customHeight="true" outlineLevel="0" collapsed="false">
      <c r="A46" s="134" t="n">
        <v>9684</v>
      </c>
      <c r="B46" s="135" t="s">
        <v>99</v>
      </c>
      <c r="C46" s="136" t="s">
        <v>227</v>
      </c>
      <c r="D46" s="146" t="n">
        <v>2</v>
      </c>
      <c r="E46" s="138" t="n">
        <f aca="false">VLOOKUP(A46,'TABELA MÃE'!B:H,7,0)</f>
        <v>72.8366998636364</v>
      </c>
      <c r="F46" s="139" t="n">
        <f aca="false">E46*D46</f>
        <v>145.673399727273</v>
      </c>
      <c r="G46" s="146" t="n">
        <v>7898647930278</v>
      </c>
      <c r="H46" s="146" t="n">
        <v>37898647930279</v>
      </c>
      <c r="I46" s="136" t="s">
        <v>202</v>
      </c>
      <c r="J46" s="136" t="s">
        <v>228</v>
      </c>
      <c r="K46" s="139" t="n">
        <f aca="false">L46*0.995</f>
        <v>143.499206027168</v>
      </c>
      <c r="L46" s="139" t="n">
        <f aca="false">M46*0.995</f>
        <v>144.220307564993</v>
      </c>
      <c r="M46" s="139" t="n">
        <f aca="false">F46*0.995</f>
        <v>144.945032728636</v>
      </c>
      <c r="N46" s="140" t="n">
        <f aca="false">F46/0.995</f>
        <v>146.405426861581</v>
      </c>
      <c r="O46" s="141" t="n">
        <f aca="false">F46*0.25%</f>
        <v>0.364183499318182</v>
      </c>
    </row>
    <row r="47" s="141" customFormat="true" ht="21.75" hidden="false" customHeight="true" outlineLevel="0" collapsed="false">
      <c r="A47" s="143"/>
      <c r="B47" s="143"/>
      <c r="C47" s="143"/>
      <c r="D47" s="143"/>
      <c r="E47" s="144"/>
      <c r="F47" s="143"/>
      <c r="G47" s="143"/>
      <c r="H47" s="143"/>
      <c r="I47" s="143"/>
      <c r="J47" s="143"/>
      <c r="K47" s="143"/>
      <c r="L47" s="143"/>
      <c r="M47" s="143"/>
      <c r="N47" s="145"/>
      <c r="O47" s="141" t="n">
        <f aca="false">F47*0.25%</f>
        <v>0</v>
      </c>
    </row>
    <row r="48" s="141" customFormat="true" ht="21.75" hidden="false" customHeight="true" outlineLevel="0" collapsed="false">
      <c r="A48" s="134" t="n">
        <v>9627</v>
      </c>
      <c r="B48" s="147" t="s">
        <v>232</v>
      </c>
      <c r="C48" s="148" t="s">
        <v>233</v>
      </c>
      <c r="D48" s="146" t="n">
        <v>25</v>
      </c>
      <c r="E48" s="138" t="n">
        <f aca="false">VLOOKUP(A48,'TABELA MÃE'!B:H,7,0)</f>
        <v>3.04168</v>
      </c>
      <c r="F48" s="139" t="n">
        <f aca="false">E48*D48</f>
        <v>76.042</v>
      </c>
      <c r="G48" s="146" t="n">
        <v>7898647930018</v>
      </c>
      <c r="H48" s="146" t="n">
        <v>17898647930015</v>
      </c>
      <c r="I48" s="136" t="s">
        <v>234</v>
      </c>
      <c r="J48" s="136" t="s">
        <v>235</v>
      </c>
      <c r="K48" s="139" t="n">
        <f aca="false">L48*0.995</f>
        <v>74.90706364475</v>
      </c>
      <c r="L48" s="139" t="n">
        <f aca="false">M48*0.995</f>
        <v>75.28348105</v>
      </c>
      <c r="M48" s="139" t="n">
        <f aca="false">F48*0.995</f>
        <v>75.66179</v>
      </c>
      <c r="N48" s="140" t="n">
        <f aca="false">F48/0.995</f>
        <v>76.4241206030151</v>
      </c>
      <c r="O48" s="141" t="n">
        <f aca="false">F48*0.25%</f>
        <v>0.190105</v>
      </c>
    </row>
    <row r="49" s="141" customFormat="true" ht="21.75" hidden="false" customHeight="true" outlineLevel="0" collapsed="false">
      <c r="A49" s="134" t="n">
        <v>9628</v>
      </c>
      <c r="B49" s="149" t="s">
        <v>236</v>
      </c>
      <c r="C49" s="150" t="s">
        <v>233</v>
      </c>
      <c r="D49" s="151" t="n">
        <v>25</v>
      </c>
      <c r="E49" s="138" t="n">
        <f aca="false">VLOOKUP(A49,'TABELA MÃE'!B:H,7,0)</f>
        <v>4.58568</v>
      </c>
      <c r="F49" s="152" t="n">
        <f aca="false">E49*D49</f>
        <v>114.642</v>
      </c>
      <c r="G49" s="151" t="n">
        <v>7898647930025</v>
      </c>
      <c r="H49" s="151" t="n">
        <v>17898647930022</v>
      </c>
      <c r="I49" s="153" t="s">
        <v>234</v>
      </c>
      <c r="J49" s="153" t="s">
        <v>237</v>
      </c>
      <c r="K49" s="139" t="n">
        <f aca="false">L49*0.995</f>
        <v>112.93095381975</v>
      </c>
      <c r="L49" s="139" t="n">
        <f aca="false">M49*0.995</f>
        <v>113.49844605</v>
      </c>
      <c r="M49" s="139" t="n">
        <f aca="false">F49*0.995</f>
        <v>114.06879</v>
      </c>
      <c r="N49" s="140" t="n">
        <f aca="false">F49/0.995</f>
        <v>115.218090452261</v>
      </c>
      <c r="O49" s="141" t="n">
        <f aca="false">F49*0.25%</f>
        <v>0.286605</v>
      </c>
    </row>
    <row r="50" customFormat="false" ht="23.85" hidden="false" customHeight="false" outlineLevel="0" collapsed="false">
      <c r="A50" s="154"/>
      <c r="B50" s="154"/>
      <c r="C50" s="154"/>
      <c r="D50" s="154"/>
      <c r="E50" s="155"/>
      <c r="F50" s="156"/>
      <c r="G50" s="157" t="s">
        <v>238</v>
      </c>
      <c r="H50" s="158"/>
      <c r="I50" s="158"/>
      <c r="J50" s="158"/>
      <c r="K50" s="159"/>
      <c r="L50" s="159"/>
    </row>
  </sheetData>
  <mergeCells count="1">
    <mergeCell ref="A1:N1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EF2CD"/>
    <pageSetUpPr fitToPage="true"/>
  </sheetPr>
  <dimension ref="A1:O50"/>
  <sheetViews>
    <sheetView showFormulas="false" showGridLines="true" showRowColHeaders="true" showZeros="true" rightToLeft="false" tabSelected="false" showOutlineSymbols="true" defaultGridColor="true" view="normal" topLeftCell="A37" colorId="64" zoomScale="100" zoomScaleNormal="100" zoomScalePageLayoutView="100" workbookViewId="0">
      <selection pane="topLeft" activeCell="E42" activeCellId="0" sqref="A2:J52"/>
    </sheetView>
  </sheetViews>
  <sheetFormatPr defaultColWidth="9.109375" defaultRowHeight="13.5" zeroHeight="false" outlineLevelRow="0" outlineLevelCol="0"/>
  <cols>
    <col collapsed="false" customWidth="true" hidden="false" outlineLevel="0" max="1" min="1" style="117" width="11.56"/>
    <col collapsed="false" customWidth="true" hidden="false" outlineLevel="0" max="2" min="2" style="118" width="38.11"/>
    <col collapsed="false" customWidth="true" hidden="false" outlineLevel="0" max="3" min="3" style="117" width="15.44"/>
    <col collapsed="false" customWidth="true" hidden="false" outlineLevel="0" max="4" min="4" style="117" width="13.56"/>
    <col collapsed="false" customWidth="true" hidden="false" outlineLevel="0" max="5" min="5" style="119" width="15.66"/>
    <col collapsed="false" customWidth="true" hidden="false" outlineLevel="0" max="6" min="6" style="120" width="15.56"/>
    <col collapsed="false" customWidth="true" hidden="false" outlineLevel="0" max="7" min="7" style="121" width="14.11"/>
    <col collapsed="false" customWidth="true" hidden="false" outlineLevel="0" max="8" min="8" style="117" width="14.56"/>
    <col collapsed="false" customWidth="true" hidden="false" outlineLevel="0" max="10" min="9" style="117" width="14.44"/>
    <col collapsed="false" customWidth="true" hidden="false" outlineLevel="0" max="11" min="11" style="118" width="13.34"/>
    <col collapsed="false" customWidth="true" hidden="false" outlineLevel="0" max="12" min="12" style="117" width="13.34"/>
    <col collapsed="false" customWidth="true" hidden="false" outlineLevel="0" max="13" min="13" style="118" width="13.34"/>
    <col collapsed="false" customWidth="true" hidden="false" outlineLevel="0" max="14" min="14" style="117" width="13.34"/>
    <col collapsed="false" customWidth="true" hidden="false" outlineLevel="0" max="15" min="15" style="122" width="1.44"/>
    <col collapsed="false" customWidth="false" hidden="false" outlineLevel="0" max="16384" min="16" style="122" width="9.11"/>
  </cols>
  <sheetData>
    <row r="1" customFormat="false" ht="83.25" hidden="false" customHeight="true" outlineLevel="0" collapsed="false">
      <c r="A1" s="123" t="s">
        <v>240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4"/>
    </row>
    <row r="2" s="130" customFormat="true" ht="39.55" hidden="false" customHeight="false" outlineLevel="0" collapsed="false">
      <c r="A2" s="125" t="s">
        <v>164</v>
      </c>
      <c r="B2" s="126" t="s">
        <v>178</v>
      </c>
      <c r="C2" s="126" t="s">
        <v>179</v>
      </c>
      <c r="D2" s="127" t="s">
        <v>180</v>
      </c>
      <c r="E2" s="128" t="s">
        <v>181</v>
      </c>
      <c r="F2" s="160" t="s">
        <v>182</v>
      </c>
      <c r="G2" s="126" t="s">
        <v>183</v>
      </c>
      <c r="H2" s="126" t="s">
        <v>184</v>
      </c>
      <c r="I2" s="126" t="s">
        <v>185</v>
      </c>
      <c r="J2" s="126" t="s">
        <v>186</v>
      </c>
      <c r="K2" s="161" t="s">
        <v>187</v>
      </c>
      <c r="L2" s="161" t="s">
        <v>188</v>
      </c>
      <c r="M2" s="161" t="s">
        <v>189</v>
      </c>
      <c r="N2" s="162" t="s">
        <v>190</v>
      </c>
      <c r="O2" s="129" t="n">
        <v>0.0025</v>
      </c>
    </row>
    <row r="3" customFormat="false" ht="13.5" hidden="false" customHeight="false" outlineLevel="0" collapsed="false">
      <c r="A3" s="131"/>
      <c r="B3" s="131"/>
      <c r="C3" s="131"/>
      <c r="D3" s="131"/>
      <c r="E3" s="132"/>
      <c r="F3" s="131"/>
      <c r="G3" s="131"/>
      <c r="H3" s="131"/>
      <c r="I3" s="131"/>
      <c r="J3" s="131"/>
      <c r="K3" s="131"/>
      <c r="L3" s="131"/>
      <c r="M3" s="131"/>
      <c r="N3" s="133"/>
    </row>
    <row r="4" s="141" customFormat="true" ht="21.75" hidden="false" customHeight="true" outlineLevel="0" collapsed="false">
      <c r="A4" s="134" t="n">
        <v>9645</v>
      </c>
      <c r="B4" s="135" t="s">
        <v>191</v>
      </c>
      <c r="C4" s="136" t="s">
        <v>192</v>
      </c>
      <c r="D4" s="137" t="n">
        <v>12</v>
      </c>
      <c r="E4" s="138" t="n">
        <f aca="false">VLOOKUP(A4,'TABELA MÃE'!B:I,8,0)</f>
        <v>6.1818102</v>
      </c>
      <c r="F4" s="139" t="n">
        <f aca="false">E4*D4</f>
        <v>74.1817224</v>
      </c>
      <c r="G4" s="137" t="n">
        <v>7898647930032</v>
      </c>
      <c r="H4" s="137" t="n">
        <v>17898647930039</v>
      </c>
      <c r="I4" s="136" t="s">
        <v>193</v>
      </c>
      <c r="J4" s="136" t="s">
        <v>194</v>
      </c>
      <c r="K4" s="139" t="n">
        <f aca="false">L4*0.995</f>
        <v>73.0745509204647</v>
      </c>
      <c r="L4" s="139" t="n">
        <f aca="false">M4*0.995</f>
        <v>73.44175971906</v>
      </c>
      <c r="M4" s="139" t="n">
        <f aca="false">F4*0.995</f>
        <v>73.810813788</v>
      </c>
      <c r="N4" s="140" t="n">
        <f aca="false">F4/0.995</f>
        <v>74.5544948743719</v>
      </c>
      <c r="O4" s="141" t="n">
        <f aca="false">F4*0.25%</f>
        <v>0.185454306</v>
      </c>
    </row>
    <row r="5" s="141" customFormat="true" ht="21.75" hidden="false" customHeight="true" outlineLevel="0" collapsed="false">
      <c r="A5" s="134" t="n">
        <v>9646</v>
      </c>
      <c r="B5" s="135" t="s">
        <v>195</v>
      </c>
      <c r="C5" s="136" t="s">
        <v>192</v>
      </c>
      <c r="D5" s="137" t="n">
        <v>12</v>
      </c>
      <c r="E5" s="138" t="n">
        <f aca="false">VLOOKUP(A5,'TABELA MÃE'!B:I,8,0)</f>
        <v>6.1818102</v>
      </c>
      <c r="F5" s="139" t="n">
        <f aca="false">E5*D5</f>
        <v>74.1817224</v>
      </c>
      <c r="G5" s="137" t="n">
        <v>7898647930049</v>
      </c>
      <c r="H5" s="137" t="n">
        <v>17898647930046</v>
      </c>
      <c r="I5" s="136" t="s">
        <v>193</v>
      </c>
      <c r="J5" s="136" t="s">
        <v>194</v>
      </c>
      <c r="K5" s="139" t="n">
        <f aca="false">L5*0.995</f>
        <v>73.0745509204647</v>
      </c>
      <c r="L5" s="139" t="n">
        <f aca="false">M5*0.995</f>
        <v>73.44175971906</v>
      </c>
      <c r="M5" s="139" t="n">
        <f aca="false">F5*0.995</f>
        <v>73.810813788</v>
      </c>
      <c r="N5" s="140" t="n">
        <f aca="false">F5/0.995</f>
        <v>74.5544948743719</v>
      </c>
      <c r="O5" s="141" t="n">
        <f aca="false">F5*0.25%</f>
        <v>0.185454306</v>
      </c>
    </row>
    <row r="6" s="141" customFormat="true" ht="21.75" hidden="false" customHeight="true" outlineLevel="0" collapsed="false">
      <c r="A6" s="134" t="n">
        <v>9648</v>
      </c>
      <c r="B6" s="135" t="s">
        <v>196</v>
      </c>
      <c r="C6" s="136" t="s">
        <v>197</v>
      </c>
      <c r="D6" s="137" t="n">
        <v>12</v>
      </c>
      <c r="E6" s="138" t="n">
        <f aca="false">VLOOKUP(A6,'TABELA MÃE'!B:I,8,0)</f>
        <v>6.43180909090909</v>
      </c>
      <c r="F6" s="139" t="n">
        <f aca="false">E6*D6</f>
        <v>77.1817090909091</v>
      </c>
      <c r="G6" s="137" t="n">
        <v>7898647930063</v>
      </c>
      <c r="H6" s="137" t="n">
        <v>17898647930060</v>
      </c>
      <c r="I6" s="136" t="s">
        <v>193</v>
      </c>
      <c r="J6" s="136" t="s">
        <v>194</v>
      </c>
      <c r="K6" s="139" t="n">
        <f aca="false">L6*0.995</f>
        <v>76.0297624350136</v>
      </c>
      <c r="L6" s="139" t="n">
        <f aca="false">M6*0.995</f>
        <v>76.4118215427273</v>
      </c>
      <c r="M6" s="139" t="n">
        <f aca="false">F6*0.995</f>
        <v>76.7958005454545</v>
      </c>
      <c r="N6" s="140" t="n">
        <f aca="false">F6/0.995</f>
        <v>77.5695568752855</v>
      </c>
      <c r="O6" s="141" t="n">
        <f aca="false">F6*0.25%</f>
        <v>0.192954272727273</v>
      </c>
    </row>
    <row r="7" s="141" customFormat="true" ht="21.75" hidden="false" customHeight="true" outlineLevel="0" collapsed="false">
      <c r="A7" s="134" t="n">
        <v>9655</v>
      </c>
      <c r="B7" s="135" t="s">
        <v>198</v>
      </c>
      <c r="C7" s="136" t="s">
        <v>199</v>
      </c>
      <c r="D7" s="137" t="n">
        <v>12</v>
      </c>
      <c r="E7" s="138" t="n">
        <f aca="false">VLOOKUP(A7,'TABELA MÃE'!B:I,8,0)</f>
        <v>7.44624981818182</v>
      </c>
      <c r="F7" s="139" t="n">
        <f aca="false">E7*D7</f>
        <v>89.3549978181818</v>
      </c>
      <c r="G7" s="137" t="n">
        <v>7898647930711</v>
      </c>
      <c r="H7" s="137" t="n">
        <v>17898647930718</v>
      </c>
      <c r="I7" s="136" t="s">
        <v>193</v>
      </c>
      <c r="J7" s="136" t="s">
        <v>194</v>
      </c>
      <c r="K7" s="139" t="n">
        <f aca="false">L7*0.995</f>
        <v>88.0213633063708</v>
      </c>
      <c r="L7" s="139" t="n">
        <f aca="false">M7*0.995</f>
        <v>88.4636817149455</v>
      </c>
      <c r="M7" s="139" t="n">
        <f aca="false">F7*0.995</f>
        <v>88.9082228290909</v>
      </c>
      <c r="N7" s="140" t="n">
        <f aca="false">F7/0.995</f>
        <v>89.8040179077205</v>
      </c>
      <c r="O7" s="141" t="n">
        <f aca="false">F7*0.25%</f>
        <v>0.223387494545455</v>
      </c>
    </row>
    <row r="8" s="141" customFormat="true" ht="21.75" hidden="false" customHeight="true" outlineLevel="0" collapsed="false">
      <c r="A8" s="134" t="n">
        <v>9653</v>
      </c>
      <c r="B8" s="135" t="s">
        <v>200</v>
      </c>
      <c r="C8" s="136" t="s">
        <v>199</v>
      </c>
      <c r="D8" s="137" t="n">
        <v>12</v>
      </c>
      <c r="E8" s="138" t="n">
        <f aca="false">VLOOKUP(A8,'TABELA MÃE'!B:I,8,0)</f>
        <v>7.03726363636364</v>
      </c>
      <c r="F8" s="139" t="n">
        <f aca="false">E8*D8</f>
        <v>84.4471636363637</v>
      </c>
      <c r="G8" s="137" t="n">
        <v>7898647930865</v>
      </c>
      <c r="H8" s="137" t="n">
        <v>17898647930862</v>
      </c>
      <c r="I8" s="136" t="s">
        <v>193</v>
      </c>
      <c r="J8" s="136" t="s">
        <v>194</v>
      </c>
      <c r="K8" s="139" t="n">
        <f aca="false">L8*0.995</f>
        <v>83.1867791631955</v>
      </c>
      <c r="L8" s="139" t="n">
        <f aca="false">M8*0.995</f>
        <v>83.604803179091</v>
      </c>
      <c r="M8" s="139" t="n">
        <f aca="false">F8*0.995</f>
        <v>84.0249278181819</v>
      </c>
      <c r="N8" s="140" t="n">
        <f aca="false">F8/0.995</f>
        <v>84.8715212425766</v>
      </c>
    </row>
    <row r="9" s="141" customFormat="true" ht="21.75" hidden="false" customHeight="true" outlineLevel="0" collapsed="false">
      <c r="A9" s="134" t="n">
        <v>9654</v>
      </c>
      <c r="B9" s="135" t="s">
        <v>201</v>
      </c>
      <c r="C9" s="136" t="s">
        <v>192</v>
      </c>
      <c r="D9" s="137" t="n">
        <v>12</v>
      </c>
      <c r="E9" s="138" t="n">
        <f aca="false">VLOOKUP(A9,'TABELA MÃE'!B:I,8,0)</f>
        <v>6.50646474545455</v>
      </c>
      <c r="F9" s="139" t="n">
        <f aca="false">E9*D9</f>
        <v>78.0775769454546</v>
      </c>
      <c r="G9" s="137" t="n">
        <v>7898647930872</v>
      </c>
      <c r="H9" s="137" t="n">
        <v>17898647930879</v>
      </c>
      <c r="I9" s="136" t="s">
        <v>193</v>
      </c>
      <c r="J9" s="136" t="s">
        <v>194</v>
      </c>
      <c r="K9" s="139" t="n">
        <f aca="false">L9*0.995</f>
        <v>76.9122593498466</v>
      </c>
      <c r="L9" s="139" t="n">
        <f aca="false">M9*0.995</f>
        <v>77.2987531154237</v>
      </c>
      <c r="M9" s="139" t="n">
        <f aca="false">F9*0.995</f>
        <v>77.6871890607273</v>
      </c>
      <c r="N9" s="140" t="n">
        <f aca="false">F9/0.995</f>
        <v>78.4699265783463</v>
      </c>
    </row>
    <row r="10" s="141" customFormat="true" ht="21.75" hidden="false" customHeight="true" outlineLevel="0" collapsed="false">
      <c r="A10" s="134" t="n">
        <v>9651</v>
      </c>
      <c r="B10" s="135" t="s">
        <v>100</v>
      </c>
      <c r="C10" s="136" t="s">
        <v>197</v>
      </c>
      <c r="D10" s="137" t="n">
        <v>12</v>
      </c>
      <c r="E10" s="138" t="n">
        <f aca="false">VLOOKUP(A10,'TABELA MÃE'!B:I,8,0)</f>
        <v>9.60006440454546</v>
      </c>
      <c r="F10" s="139" t="n">
        <f aca="false">E10*D10</f>
        <v>115.200772854546</v>
      </c>
      <c r="G10" s="137" t="n">
        <v>7898966673153</v>
      </c>
      <c r="H10" s="137" t="n">
        <v>17898966673150</v>
      </c>
      <c r="I10" s="136" t="s">
        <v>202</v>
      </c>
      <c r="J10" s="136" t="s">
        <v>194</v>
      </c>
      <c r="K10" s="139" t="n">
        <f aca="false">L10*0.995</f>
        <v>113.481386919595</v>
      </c>
      <c r="L10" s="139" t="n">
        <f aca="false">M10*0.995</f>
        <v>114.051645145321</v>
      </c>
      <c r="M10" s="139" t="n">
        <f aca="false">F10*0.995</f>
        <v>114.624768990273</v>
      </c>
      <c r="N10" s="140" t="n">
        <f aca="false">F10/0.995</f>
        <v>115.779671210599</v>
      </c>
      <c r="O10" s="141" t="n">
        <f aca="false">F10*0.25%</f>
        <v>0.288001932136364</v>
      </c>
    </row>
    <row r="11" s="141" customFormat="true" ht="21.75" hidden="false" customHeight="true" outlineLevel="0" collapsed="false">
      <c r="A11" s="134" t="n">
        <v>9652</v>
      </c>
      <c r="B11" s="135" t="s">
        <v>99</v>
      </c>
      <c r="C11" s="136" t="s">
        <v>197</v>
      </c>
      <c r="D11" s="137" t="n">
        <v>12</v>
      </c>
      <c r="E11" s="138" t="n">
        <f aca="false">VLOOKUP(A11,'TABELA MÃE'!B:I,8,0)</f>
        <v>8.92588258636364</v>
      </c>
      <c r="F11" s="139" t="n">
        <f aca="false">E11*D11</f>
        <v>107.110591036364</v>
      </c>
      <c r="G11" s="137" t="n">
        <v>7898966673160</v>
      </c>
      <c r="H11" s="137" t="n">
        <v>17898966673167</v>
      </c>
      <c r="I11" s="136" t="s">
        <v>202</v>
      </c>
      <c r="J11" s="136" t="s">
        <v>194</v>
      </c>
      <c r="K11" s="139" t="n">
        <f aca="false">L11*0.995</f>
        <v>105.511952076322</v>
      </c>
      <c r="L11" s="139" t="n">
        <f aca="false">M11*0.995</f>
        <v>106.042162890776</v>
      </c>
      <c r="M11" s="139" t="n">
        <f aca="false">F11*0.995</f>
        <v>106.575038081182</v>
      </c>
      <c r="N11" s="140" t="n">
        <f aca="false">F11/0.995</f>
        <v>107.648835212426</v>
      </c>
      <c r="O11" s="141" t="n">
        <f aca="false">F11*0.25%</f>
        <v>0.267776477590909</v>
      </c>
    </row>
    <row r="12" s="141" customFormat="true" ht="21.75" hidden="false" customHeight="true" outlineLevel="0" collapsed="false">
      <c r="A12" s="134" t="n">
        <v>9357</v>
      </c>
      <c r="B12" s="135" t="s">
        <v>203</v>
      </c>
      <c r="C12" s="136" t="s">
        <v>204</v>
      </c>
      <c r="D12" s="137" t="n">
        <v>12</v>
      </c>
      <c r="E12" s="138" t="n">
        <f aca="false">VLOOKUP(A12,'TABELA MÃE'!B:I,8,0)</f>
        <v>12.5288072727273</v>
      </c>
      <c r="F12" s="139" t="n">
        <f aca="false">E12*D12</f>
        <v>150.345687272728</v>
      </c>
      <c r="G12" s="137" t="n">
        <v>7898647930070</v>
      </c>
      <c r="H12" s="137" t="n">
        <v>17898647930077</v>
      </c>
      <c r="I12" s="136" t="s">
        <v>193</v>
      </c>
      <c r="J12" s="136" t="s">
        <v>205</v>
      </c>
      <c r="K12" s="139" t="n">
        <f aca="false">L12*0.995</f>
        <v>148.101759096971</v>
      </c>
      <c r="L12" s="139" t="n">
        <f aca="false">M12*0.995</f>
        <v>148.845989042182</v>
      </c>
      <c r="M12" s="139" t="n">
        <f aca="false">F12*0.995</f>
        <v>149.593958836364</v>
      </c>
      <c r="N12" s="140" t="n">
        <f aca="false">F12/0.995</f>
        <v>151.101193238922</v>
      </c>
      <c r="O12" s="141" t="n">
        <f aca="false">F12*0.25%</f>
        <v>0.375864218181819</v>
      </c>
    </row>
    <row r="13" s="141" customFormat="true" ht="21.75" hidden="false" customHeight="true" outlineLevel="0" collapsed="false">
      <c r="A13" s="134" t="n">
        <v>9358</v>
      </c>
      <c r="B13" s="135" t="s">
        <v>200</v>
      </c>
      <c r="C13" s="136" t="s">
        <v>206</v>
      </c>
      <c r="D13" s="137" t="n">
        <v>12</v>
      </c>
      <c r="E13" s="138" t="n">
        <f aca="false">VLOOKUP(A13,'TABELA MÃE'!B:I,8,0)</f>
        <v>13.0835345454545</v>
      </c>
      <c r="F13" s="139" t="n">
        <f aca="false">E13*D13</f>
        <v>157.002414545454</v>
      </c>
      <c r="G13" s="137" t="n">
        <v>7898966673009</v>
      </c>
      <c r="H13" s="137" t="n">
        <v>17898966673013</v>
      </c>
      <c r="I13" s="136" t="s">
        <v>193</v>
      </c>
      <c r="J13" s="136" t="s">
        <v>205</v>
      </c>
      <c r="K13" s="139" t="n">
        <f aca="false">L13*0.995</f>
        <v>154.659133883061</v>
      </c>
      <c r="L13" s="139" t="n">
        <f aca="false">M13*0.995</f>
        <v>155.436315460363</v>
      </c>
      <c r="M13" s="139" t="n">
        <f aca="false">F13*0.995</f>
        <v>156.217402472727</v>
      </c>
      <c r="N13" s="140" t="n">
        <f aca="false">F13/0.995</f>
        <v>157.791371402466</v>
      </c>
      <c r="O13" s="141" t="n">
        <f aca="false">F13*0.25%</f>
        <v>0.392506036363635</v>
      </c>
    </row>
    <row r="14" s="142" customFormat="true" ht="21.75" hidden="false" customHeight="true" outlineLevel="0" collapsed="false">
      <c r="A14" s="134" t="n">
        <v>9359</v>
      </c>
      <c r="B14" s="135" t="s">
        <v>201</v>
      </c>
      <c r="C14" s="136" t="s">
        <v>207</v>
      </c>
      <c r="D14" s="137" t="n">
        <v>12</v>
      </c>
      <c r="E14" s="138" t="n">
        <f aca="false">VLOOKUP(A14,'TABELA MÃE'!B:I,8,0)</f>
        <v>15.7769890909091</v>
      </c>
      <c r="F14" s="139" t="n">
        <f aca="false">E14*D14</f>
        <v>189.323869090909</v>
      </c>
      <c r="G14" s="137" t="n">
        <v>7898966673023</v>
      </c>
      <c r="H14" s="137" t="n">
        <v>17898966673020</v>
      </c>
      <c r="I14" s="136" t="s">
        <v>193</v>
      </c>
      <c r="J14" s="136" t="s">
        <v>205</v>
      </c>
      <c r="K14" s="139" t="n">
        <f aca="false">L14*0.995</f>
        <v>186.498186679244</v>
      </c>
      <c r="L14" s="139" t="n">
        <f aca="false">M14*0.995</f>
        <v>187.435363496727</v>
      </c>
      <c r="M14" s="139" t="n">
        <f aca="false">F14*0.995</f>
        <v>188.377249745455</v>
      </c>
      <c r="N14" s="140" t="n">
        <f aca="false">F14/0.995</f>
        <v>190.275245317497</v>
      </c>
      <c r="O14" s="142" t="n">
        <f aca="false">F14*0.25%</f>
        <v>0.473309672727273</v>
      </c>
    </row>
    <row r="15" s="141" customFormat="true" ht="21.75" hidden="false" customHeight="true" outlineLevel="0" collapsed="false">
      <c r="A15" s="134" t="n">
        <v>9656</v>
      </c>
      <c r="B15" s="135" t="s">
        <v>208</v>
      </c>
      <c r="C15" s="136" t="s">
        <v>207</v>
      </c>
      <c r="D15" s="137" t="n">
        <v>12</v>
      </c>
      <c r="E15" s="138" t="n">
        <f aca="false">VLOOKUP(A15,'TABELA MÃE'!B:I,8,0)</f>
        <v>13.1345105454545</v>
      </c>
      <c r="F15" s="139" t="n">
        <f aca="false">E15*D15</f>
        <v>157.614126545454</v>
      </c>
      <c r="G15" s="137" t="s">
        <v>209</v>
      </c>
      <c r="H15" s="137" t="s">
        <v>210</v>
      </c>
      <c r="I15" s="136" t="s">
        <v>193</v>
      </c>
      <c r="J15" s="136" t="s">
        <v>205</v>
      </c>
      <c r="K15" s="139" t="n">
        <f aca="false">L15*0.995</f>
        <v>155.261716004997</v>
      </c>
      <c r="L15" s="139" t="n">
        <f aca="false">M15*0.995</f>
        <v>156.041925633163</v>
      </c>
      <c r="M15" s="139" t="n">
        <f aca="false">F15*0.995</f>
        <v>156.826055912727</v>
      </c>
      <c r="N15" s="140" t="n">
        <f aca="false">F15/0.995</f>
        <v>158.406157332115</v>
      </c>
      <c r="O15" s="141" t="n">
        <f aca="false">F15*0.25%</f>
        <v>0.394035316363635</v>
      </c>
    </row>
    <row r="16" s="141" customFormat="true" ht="21.75" hidden="false" customHeight="true" outlineLevel="0" collapsed="false">
      <c r="A16" s="143"/>
      <c r="B16" s="143"/>
      <c r="C16" s="143"/>
      <c r="D16" s="143"/>
      <c r="E16" s="144"/>
      <c r="F16" s="143"/>
      <c r="G16" s="143"/>
      <c r="H16" s="143"/>
      <c r="I16" s="143"/>
      <c r="J16" s="143"/>
      <c r="K16" s="143"/>
      <c r="L16" s="143"/>
      <c r="M16" s="143"/>
      <c r="N16" s="145"/>
      <c r="O16" s="141" t="n">
        <f aca="false">F16*0.25%</f>
        <v>0</v>
      </c>
    </row>
    <row r="17" s="141" customFormat="true" ht="21.75" hidden="false" customHeight="true" outlineLevel="0" collapsed="false">
      <c r="A17" s="134" t="n">
        <v>9663</v>
      </c>
      <c r="B17" s="135" t="s">
        <v>203</v>
      </c>
      <c r="C17" s="136" t="s">
        <v>211</v>
      </c>
      <c r="D17" s="137" t="n">
        <v>30</v>
      </c>
      <c r="E17" s="138" t="n">
        <f aca="false">VLOOKUP(A17,'TABELA MÃE'!B:I,8,0)</f>
        <v>1.58511938181818</v>
      </c>
      <c r="F17" s="139" t="n">
        <f aca="false">E17*D17</f>
        <v>47.5535814545454</v>
      </c>
      <c r="G17" s="146" t="n">
        <v>7898647930087</v>
      </c>
      <c r="H17" s="146" t="n">
        <v>17898647930084</v>
      </c>
      <c r="I17" s="136" t="s">
        <v>193</v>
      </c>
      <c r="J17" s="136" t="s">
        <v>212</v>
      </c>
      <c r="K17" s="139" t="n">
        <f aca="false">L17*0.995</f>
        <v>46.8438383071386</v>
      </c>
      <c r="L17" s="139" t="n">
        <f aca="false">M17*0.995</f>
        <v>47.0792344795363</v>
      </c>
      <c r="M17" s="139" t="n">
        <f aca="false">F17*0.995</f>
        <v>47.3158135472727</v>
      </c>
      <c r="N17" s="140" t="n">
        <f aca="false">F17/0.995</f>
        <v>47.7925441754225</v>
      </c>
      <c r="O17" s="141" t="n">
        <f aca="false">F17*0.25%</f>
        <v>0.118883953636363</v>
      </c>
    </row>
    <row r="18" s="141" customFormat="true" ht="21.75" hidden="false" customHeight="true" outlineLevel="0" collapsed="false">
      <c r="A18" s="134" t="n">
        <v>9664</v>
      </c>
      <c r="B18" s="135" t="s">
        <v>195</v>
      </c>
      <c r="C18" s="136" t="s">
        <v>211</v>
      </c>
      <c r="D18" s="137" t="n">
        <v>30</v>
      </c>
      <c r="E18" s="138" t="n">
        <f aca="false">VLOOKUP(A18,'TABELA MÃE'!B:I,8,0)</f>
        <v>2.30642847272727</v>
      </c>
      <c r="F18" s="139" t="n">
        <f aca="false">E18*D18</f>
        <v>69.1928541818181</v>
      </c>
      <c r="G18" s="146" t="s">
        <v>213</v>
      </c>
      <c r="H18" s="146" t="s">
        <v>214</v>
      </c>
      <c r="I18" s="136" t="s">
        <v>193</v>
      </c>
      <c r="J18" s="136" t="s">
        <v>212</v>
      </c>
      <c r="K18" s="139" t="n">
        <f aca="false">L18*0.995</f>
        <v>68.1601421840477</v>
      </c>
      <c r="L18" s="139" t="n">
        <f aca="false">M18*0.995</f>
        <v>68.5026554613545</v>
      </c>
      <c r="M18" s="139" t="n">
        <f aca="false">F18*0.995</f>
        <v>68.846889910909</v>
      </c>
      <c r="N18" s="140" t="n">
        <f aca="false">F18/0.995</f>
        <v>69.5405569666514</v>
      </c>
      <c r="O18" s="141" t="n">
        <f aca="false">F18*0.25%</f>
        <v>0.172982135454545</v>
      </c>
    </row>
    <row r="19" s="141" customFormat="true" ht="21.75" hidden="false" customHeight="true" outlineLevel="0" collapsed="false">
      <c r="A19" s="134" t="n">
        <v>9665</v>
      </c>
      <c r="B19" s="135" t="s">
        <v>191</v>
      </c>
      <c r="C19" s="136" t="s">
        <v>211</v>
      </c>
      <c r="D19" s="137" t="n">
        <v>30</v>
      </c>
      <c r="E19" s="138" t="n">
        <f aca="false">VLOOKUP(A19,'TABELA MÃE'!B:I,8,0)</f>
        <v>2.30642847272727</v>
      </c>
      <c r="F19" s="139" t="n">
        <f aca="false">E19*D19</f>
        <v>69.1928541818181</v>
      </c>
      <c r="G19" s="146" t="s">
        <v>215</v>
      </c>
      <c r="H19" s="146" t="s">
        <v>216</v>
      </c>
      <c r="I19" s="136" t="s">
        <v>193</v>
      </c>
      <c r="J19" s="136" t="s">
        <v>212</v>
      </c>
      <c r="K19" s="139" t="n">
        <f aca="false">L19*0.995</f>
        <v>68.1601421840477</v>
      </c>
      <c r="L19" s="139" t="n">
        <f aca="false">M19*0.995</f>
        <v>68.5026554613545</v>
      </c>
      <c r="M19" s="139" t="n">
        <f aca="false">F19*0.995</f>
        <v>68.846889910909</v>
      </c>
      <c r="N19" s="140" t="n">
        <f aca="false">F19/0.995</f>
        <v>69.5405569666514</v>
      </c>
      <c r="O19" s="141" t="n">
        <f aca="false">F19*0.25%</f>
        <v>0.172982135454545</v>
      </c>
    </row>
    <row r="20" s="142" customFormat="true" ht="21.75" hidden="false" customHeight="true" outlineLevel="0" collapsed="false">
      <c r="A20" s="134" t="n">
        <v>9360</v>
      </c>
      <c r="B20" s="135" t="s">
        <v>195</v>
      </c>
      <c r="C20" s="136" t="s">
        <v>217</v>
      </c>
      <c r="D20" s="137" t="n">
        <v>18</v>
      </c>
      <c r="E20" s="138" t="n">
        <f aca="false">VLOOKUP(A20,'TABELA MÃE'!B:I,8,0)</f>
        <v>3.32341818181818</v>
      </c>
      <c r="F20" s="139" t="n">
        <f aca="false">E20*D20</f>
        <v>59.8215272727272</v>
      </c>
      <c r="G20" s="146" t="n">
        <v>7898647930094</v>
      </c>
      <c r="H20" s="146" t="n">
        <v>17898647930091</v>
      </c>
      <c r="I20" s="136" t="s">
        <v>193</v>
      </c>
      <c r="J20" s="136" t="s">
        <v>212</v>
      </c>
      <c r="K20" s="139" t="n">
        <f aca="false">L20*0.995</f>
        <v>58.9286835004909</v>
      </c>
      <c r="L20" s="139" t="n">
        <f aca="false">M20*0.995</f>
        <v>59.2248075381818</v>
      </c>
      <c r="M20" s="139" t="n">
        <f aca="false">F20*0.995</f>
        <v>59.5224196363636</v>
      </c>
      <c r="N20" s="140" t="n">
        <f aca="false">F20/0.995</f>
        <v>60.1221379625399</v>
      </c>
      <c r="O20" s="142" t="n">
        <f aca="false">F20*0.25%</f>
        <v>0.149553818181818</v>
      </c>
    </row>
    <row r="21" s="142" customFormat="true" ht="21.75" hidden="false" customHeight="true" outlineLevel="0" collapsed="false">
      <c r="A21" s="134" t="n">
        <v>9361</v>
      </c>
      <c r="B21" s="135" t="s">
        <v>191</v>
      </c>
      <c r="C21" s="136" t="s">
        <v>217</v>
      </c>
      <c r="D21" s="137" t="n">
        <v>18</v>
      </c>
      <c r="E21" s="138" t="n">
        <f aca="false">VLOOKUP(A21,'TABELA MÃE'!B:I,8,0)</f>
        <v>3.32341818181818</v>
      </c>
      <c r="F21" s="139" t="n">
        <f aca="false">E21*D21</f>
        <v>59.8215272727272</v>
      </c>
      <c r="G21" s="146" t="n">
        <v>7898647930100</v>
      </c>
      <c r="H21" s="146" t="n">
        <v>17898647930107</v>
      </c>
      <c r="I21" s="136" t="s">
        <v>193</v>
      </c>
      <c r="J21" s="136" t="s">
        <v>212</v>
      </c>
      <c r="K21" s="139" t="n">
        <f aca="false">L21*0.995</f>
        <v>58.9286835004909</v>
      </c>
      <c r="L21" s="139" t="n">
        <f aca="false">M21*0.995</f>
        <v>59.2248075381818</v>
      </c>
      <c r="M21" s="139" t="n">
        <f aca="false">F21*0.995</f>
        <v>59.5224196363636</v>
      </c>
      <c r="N21" s="140" t="n">
        <f aca="false">F21/0.995</f>
        <v>60.1221379625399</v>
      </c>
      <c r="O21" s="142" t="n">
        <f aca="false">F21*0.25%</f>
        <v>0.149553818181818</v>
      </c>
    </row>
    <row r="22" s="142" customFormat="true" ht="21.75" hidden="false" customHeight="true" outlineLevel="0" collapsed="false">
      <c r="A22" s="134" t="n">
        <v>9630</v>
      </c>
      <c r="B22" s="135" t="s">
        <v>203</v>
      </c>
      <c r="C22" s="136" t="s">
        <v>218</v>
      </c>
      <c r="D22" s="137" t="n">
        <v>18</v>
      </c>
      <c r="E22" s="138" t="n">
        <f aca="false">VLOOKUP(A22,'TABELA MÃE'!B:I,8,0)</f>
        <v>3.44994705454545</v>
      </c>
      <c r="F22" s="139" t="n">
        <f aca="false">E22*D22</f>
        <v>62.0990469818181</v>
      </c>
      <c r="G22" s="146" t="n">
        <v>7898647930124</v>
      </c>
      <c r="H22" s="146" t="n">
        <v>17898647930121</v>
      </c>
      <c r="I22" s="136" t="s">
        <v>193</v>
      </c>
      <c r="J22" s="136" t="s">
        <v>212</v>
      </c>
      <c r="K22" s="139" t="n">
        <f aca="false">L22*0.995</f>
        <v>61.1722109432336</v>
      </c>
      <c r="L22" s="139" t="n">
        <f aca="false">M22*0.995</f>
        <v>61.4796089881745</v>
      </c>
      <c r="M22" s="139" t="n">
        <f aca="false">F22*0.995</f>
        <v>61.788551746909</v>
      </c>
      <c r="N22" s="140" t="n">
        <f aca="false">F22/0.995</f>
        <v>62.4111024942895</v>
      </c>
      <c r="O22" s="142" t="n">
        <f aca="false">F22*0.25%</f>
        <v>0.155247617454545</v>
      </c>
    </row>
    <row r="23" s="141" customFormat="true" ht="21.75" hidden="false" customHeight="true" outlineLevel="0" collapsed="false">
      <c r="A23" s="143"/>
      <c r="B23" s="143"/>
      <c r="C23" s="143"/>
      <c r="D23" s="143"/>
      <c r="E23" s="144"/>
      <c r="F23" s="143"/>
      <c r="G23" s="143"/>
      <c r="H23" s="143"/>
      <c r="I23" s="143"/>
      <c r="J23" s="143"/>
      <c r="K23" s="143"/>
      <c r="L23" s="143"/>
      <c r="M23" s="143"/>
      <c r="N23" s="145"/>
      <c r="O23" s="141" t="n">
        <f aca="false">F23*0.25%</f>
        <v>0</v>
      </c>
    </row>
    <row r="24" s="141" customFormat="true" ht="21.75" hidden="false" customHeight="true" outlineLevel="0" collapsed="false">
      <c r="A24" s="134" t="n">
        <v>9673</v>
      </c>
      <c r="B24" s="135" t="s">
        <v>100</v>
      </c>
      <c r="C24" s="136" t="s">
        <v>219</v>
      </c>
      <c r="D24" s="137" t="n">
        <v>30</v>
      </c>
      <c r="E24" s="138" t="n">
        <f aca="false">VLOOKUP(A24,'TABELA MÃE'!B:I,8,0)</f>
        <v>4.01577842727273</v>
      </c>
      <c r="F24" s="139" t="n">
        <f aca="false">E24*D24</f>
        <v>120.473352818182</v>
      </c>
      <c r="G24" s="146" t="n">
        <v>7898647930131</v>
      </c>
      <c r="H24" s="146" t="n">
        <v>17898647930138</v>
      </c>
      <c r="I24" s="136" t="s">
        <v>202</v>
      </c>
      <c r="J24" s="136" t="s">
        <v>212</v>
      </c>
      <c r="K24" s="139" t="n">
        <f aca="false">L24*0.995</f>
        <v>118.675272968201</v>
      </c>
      <c r="L24" s="139" t="n">
        <f aca="false">M24*0.995</f>
        <v>119.271631123821</v>
      </c>
      <c r="M24" s="139" t="n">
        <f aca="false">F24*0.995</f>
        <v>119.870986054091</v>
      </c>
      <c r="N24" s="140" t="n">
        <f aca="false">F24/0.995</f>
        <v>121.078746550937</v>
      </c>
      <c r="O24" s="141" t="n">
        <f aca="false">F24*0.25%</f>
        <v>0.301183382045455</v>
      </c>
    </row>
    <row r="25" s="141" customFormat="true" ht="21.75" hidden="false" customHeight="true" outlineLevel="0" collapsed="false">
      <c r="A25" s="134" t="n">
        <v>10057</v>
      </c>
      <c r="B25" s="135" t="s">
        <v>99</v>
      </c>
      <c r="C25" s="136" t="s">
        <v>219</v>
      </c>
      <c r="D25" s="137" t="n">
        <v>30</v>
      </c>
      <c r="E25" s="138" t="n">
        <f aca="false">VLOOKUP(A25,'TABELA MÃE'!B:I,8,0)</f>
        <v>3.67868751818182</v>
      </c>
      <c r="F25" s="139" t="n">
        <f aca="false">E25*D25</f>
        <v>110.360625545455</v>
      </c>
      <c r="G25" s="146" t="n">
        <v>7898647930148</v>
      </c>
      <c r="H25" s="146" t="n">
        <v>17898647930145</v>
      </c>
      <c r="I25" s="136" t="s">
        <v>202</v>
      </c>
      <c r="J25" s="136" t="s">
        <v>212</v>
      </c>
      <c r="K25" s="139" t="n">
        <f aca="false">L25*0.995</f>
        <v>108.713479414111</v>
      </c>
      <c r="L25" s="139" t="n">
        <f aca="false">M25*0.995</f>
        <v>109.259778305639</v>
      </c>
      <c r="M25" s="139" t="n">
        <f aca="false">F25*0.995</f>
        <v>109.808822417727</v>
      </c>
      <c r="N25" s="140" t="n">
        <f aca="false">F25/0.995</f>
        <v>110.915201553221</v>
      </c>
      <c r="O25" s="141" t="n">
        <f aca="false">F25*0.25%</f>
        <v>0.275901563863637</v>
      </c>
    </row>
    <row r="26" s="141" customFormat="true" ht="21.75" hidden="false" customHeight="true" outlineLevel="0" collapsed="false">
      <c r="A26" s="143"/>
      <c r="B26" s="143"/>
      <c r="C26" s="143"/>
      <c r="D26" s="143"/>
      <c r="E26" s="144"/>
      <c r="F26" s="143"/>
      <c r="G26" s="143"/>
      <c r="H26" s="143"/>
      <c r="I26" s="143"/>
      <c r="J26" s="143"/>
      <c r="K26" s="143"/>
      <c r="L26" s="143"/>
      <c r="M26" s="143"/>
      <c r="N26" s="145"/>
      <c r="O26" s="141" t="n">
        <f aca="false">F26*0.25%</f>
        <v>0</v>
      </c>
    </row>
    <row r="27" s="142" customFormat="true" ht="21.75" hidden="false" customHeight="true" outlineLevel="0" collapsed="false">
      <c r="A27" s="134" t="n">
        <v>9565</v>
      </c>
      <c r="B27" s="135" t="s">
        <v>203</v>
      </c>
      <c r="C27" s="136" t="s">
        <v>220</v>
      </c>
      <c r="D27" s="137" t="n">
        <v>36</v>
      </c>
      <c r="E27" s="138" t="n">
        <f aca="false">VLOOKUP(A27,'TABELA MÃE'!B:I,8,0)</f>
        <v>1.23121978181818</v>
      </c>
      <c r="F27" s="139" t="n">
        <f aca="false">E27*D27</f>
        <v>44.3239121454545</v>
      </c>
      <c r="G27" s="146" t="n">
        <v>7898647930476</v>
      </c>
      <c r="H27" s="146" t="n">
        <v>17898647930473</v>
      </c>
      <c r="I27" s="136" t="s">
        <v>193</v>
      </c>
      <c r="J27" s="136" t="s">
        <v>212</v>
      </c>
      <c r="K27" s="139" t="n">
        <f aca="false">L27*0.995</f>
        <v>43.6623722161946</v>
      </c>
      <c r="L27" s="139" t="n">
        <f aca="false">M27*0.995</f>
        <v>43.8817811218036</v>
      </c>
      <c r="M27" s="139" t="n">
        <f aca="false">F27*0.995</f>
        <v>44.1022925847272</v>
      </c>
      <c r="N27" s="140" t="n">
        <f aca="false">F27/0.995</f>
        <v>44.5466453723161</v>
      </c>
      <c r="O27" s="142" t="n">
        <f aca="false">F27*0.25%</f>
        <v>0.110809780363636</v>
      </c>
    </row>
    <row r="28" s="141" customFormat="true" ht="21.75" hidden="false" customHeight="true" outlineLevel="0" collapsed="false">
      <c r="A28" s="143"/>
      <c r="B28" s="143"/>
      <c r="C28" s="143"/>
      <c r="D28" s="143"/>
      <c r="E28" s="144"/>
      <c r="F28" s="143"/>
      <c r="G28" s="143"/>
      <c r="H28" s="143"/>
      <c r="I28" s="143"/>
      <c r="J28" s="143"/>
      <c r="K28" s="143"/>
      <c r="L28" s="143"/>
      <c r="M28" s="143"/>
      <c r="N28" s="145"/>
      <c r="O28" s="141" t="n">
        <f aca="false">F28*0.25%</f>
        <v>0</v>
      </c>
    </row>
    <row r="29" s="141" customFormat="true" ht="21.75" hidden="false" customHeight="true" outlineLevel="0" collapsed="false">
      <c r="A29" s="134" t="n">
        <v>9674</v>
      </c>
      <c r="B29" s="135" t="s">
        <v>221</v>
      </c>
      <c r="C29" s="136" t="s">
        <v>222</v>
      </c>
      <c r="D29" s="137" t="n">
        <v>6</v>
      </c>
      <c r="E29" s="138" t="n">
        <f aca="false">VLOOKUP(A29,'TABELA MÃE'!B:I,8,0)</f>
        <v>21.5313272727273</v>
      </c>
      <c r="F29" s="139" t="n">
        <f aca="false">E29*D29</f>
        <v>129.187963636364</v>
      </c>
      <c r="G29" s="146" t="n">
        <v>7898647930308</v>
      </c>
      <c r="H29" s="146" t="n">
        <v>17898647930305</v>
      </c>
      <c r="I29" s="136" t="s">
        <v>193</v>
      </c>
      <c r="J29" s="136" t="s">
        <v>223</v>
      </c>
      <c r="K29" s="139" t="n">
        <f aca="false">L29*0.995</f>
        <v>127.259817130596</v>
      </c>
      <c r="L29" s="139" t="n">
        <f aca="false">M29*0.995</f>
        <v>127.899313699091</v>
      </c>
      <c r="M29" s="139" t="n">
        <f aca="false">F29*0.995</f>
        <v>128.542023818182</v>
      </c>
      <c r="N29" s="140" t="n">
        <f aca="false">F29/0.995</f>
        <v>129.83714938328</v>
      </c>
      <c r="O29" s="141" t="n">
        <f aca="false">F29*0.25%</f>
        <v>0.32296990909091</v>
      </c>
    </row>
    <row r="30" s="141" customFormat="true" ht="21.75" hidden="false" customHeight="true" outlineLevel="0" collapsed="false">
      <c r="A30" s="134" t="n">
        <v>9675</v>
      </c>
      <c r="B30" s="135" t="s">
        <v>195</v>
      </c>
      <c r="C30" s="136" t="s">
        <v>222</v>
      </c>
      <c r="D30" s="137" t="n">
        <v>6</v>
      </c>
      <c r="E30" s="138" t="n">
        <f aca="false">VLOOKUP(A30,'TABELA MÃE'!B:I,8,0)</f>
        <v>21.5313272727273</v>
      </c>
      <c r="F30" s="139" t="n">
        <f aca="false">E30*D30</f>
        <v>129.187963636364</v>
      </c>
      <c r="G30" s="146" t="n">
        <v>7898647930377</v>
      </c>
      <c r="H30" s="146" t="n">
        <v>17898647930312</v>
      </c>
      <c r="I30" s="136" t="s">
        <v>193</v>
      </c>
      <c r="J30" s="136" t="s">
        <v>223</v>
      </c>
      <c r="K30" s="139" t="n">
        <f aca="false">L30*0.995</f>
        <v>127.259817130596</v>
      </c>
      <c r="L30" s="139" t="n">
        <f aca="false">M30*0.995</f>
        <v>127.899313699091</v>
      </c>
      <c r="M30" s="139" t="n">
        <f aca="false">F30*0.995</f>
        <v>128.542023818182</v>
      </c>
      <c r="N30" s="140" t="n">
        <f aca="false">F30/0.995</f>
        <v>129.83714938328</v>
      </c>
      <c r="O30" s="141" t="n">
        <f aca="false">F30*0.25%</f>
        <v>0.32296990909091</v>
      </c>
    </row>
    <row r="31" s="141" customFormat="true" ht="21.75" hidden="false" customHeight="true" outlineLevel="0" collapsed="false">
      <c r="A31" s="134" t="n">
        <v>9677</v>
      </c>
      <c r="B31" s="135" t="s">
        <v>224</v>
      </c>
      <c r="C31" s="136" t="s">
        <v>222</v>
      </c>
      <c r="D31" s="137" t="n">
        <v>6</v>
      </c>
      <c r="E31" s="138" t="n">
        <f aca="false">VLOOKUP(A31,'TABELA MÃE'!B:I,8,0)</f>
        <v>22.0436727272727</v>
      </c>
      <c r="F31" s="139" t="n">
        <f aca="false">E31*D31</f>
        <v>132.262036363636</v>
      </c>
      <c r="G31" s="146" t="n">
        <v>7898647930346</v>
      </c>
      <c r="H31" s="146" t="n">
        <v>17898647930343</v>
      </c>
      <c r="I31" s="136" t="s">
        <v>193</v>
      </c>
      <c r="J31" s="136" t="s">
        <v>223</v>
      </c>
      <c r="K31" s="139" t="n">
        <f aca="false">L31*0.995</f>
        <v>130.288008938154</v>
      </c>
      <c r="L31" s="139" t="n">
        <f aca="false">M31*0.995</f>
        <v>130.942722550909</v>
      </c>
      <c r="M31" s="139" t="n">
        <f aca="false">F31*0.995</f>
        <v>131.600726181818</v>
      </c>
      <c r="N31" s="140" t="n">
        <f aca="false">F31/0.995</f>
        <v>132.926669712197</v>
      </c>
      <c r="O31" s="141" t="n">
        <f aca="false">F31*0.25%</f>
        <v>0.33065509090909</v>
      </c>
    </row>
    <row r="32" s="141" customFormat="true" ht="21.75" hidden="false" customHeight="true" outlineLevel="0" collapsed="false">
      <c r="A32" s="134" t="n">
        <v>9678</v>
      </c>
      <c r="B32" s="135" t="s">
        <v>225</v>
      </c>
      <c r="C32" s="136" t="s">
        <v>222</v>
      </c>
      <c r="D32" s="137" t="n">
        <v>6</v>
      </c>
      <c r="E32" s="138" t="n">
        <f aca="false">VLOOKUP(A32,'TABELA MÃE'!B:I,8,0)</f>
        <v>18.9861272727273</v>
      </c>
      <c r="F32" s="139" t="n">
        <f aca="false">E32*D32</f>
        <v>113.916763636364</v>
      </c>
      <c r="G32" s="146" t="n">
        <v>7898647930353</v>
      </c>
      <c r="H32" s="146" t="n">
        <v>17898647930350</v>
      </c>
      <c r="I32" s="136" t="s">
        <v>193</v>
      </c>
      <c r="J32" s="136" t="s">
        <v>223</v>
      </c>
      <c r="K32" s="139" t="n">
        <f aca="false">L32*0.995</f>
        <v>112.216541699496</v>
      </c>
      <c r="L32" s="139" t="n">
        <f aca="false">M32*0.995</f>
        <v>112.780443919091</v>
      </c>
      <c r="M32" s="139" t="n">
        <f aca="false">F32*0.995</f>
        <v>113.347179818182</v>
      </c>
      <c r="N32" s="140" t="n">
        <f aca="false">F32/0.995</f>
        <v>114.489209684788</v>
      </c>
      <c r="O32" s="141" t="n">
        <f aca="false">F32*0.25%</f>
        <v>0.284791909090909</v>
      </c>
    </row>
    <row r="33" s="141" customFormat="true" ht="21.75" hidden="false" customHeight="true" outlineLevel="0" collapsed="false">
      <c r="A33" s="134" t="n">
        <v>9679</v>
      </c>
      <c r="B33" s="135" t="s">
        <v>226</v>
      </c>
      <c r="C33" s="136" t="s">
        <v>222</v>
      </c>
      <c r="D33" s="137" t="n">
        <v>6</v>
      </c>
      <c r="E33" s="138" t="n">
        <f aca="false">VLOOKUP(A33,'TABELA MÃE'!B:I,8,0)</f>
        <v>12.4248</v>
      </c>
      <c r="F33" s="139" t="n">
        <f aca="false">E33*D33</f>
        <v>74.5488</v>
      </c>
      <c r="G33" s="146" t="n">
        <v>7898647930360</v>
      </c>
      <c r="H33" s="146" t="n">
        <v>17898647930367</v>
      </c>
      <c r="I33" s="136" t="s">
        <v>193</v>
      </c>
      <c r="J33" s="136" t="s">
        <v>223</v>
      </c>
      <c r="K33" s="139" t="n">
        <f aca="false">L33*0.995</f>
        <v>73.4361498414</v>
      </c>
      <c r="L33" s="139" t="n">
        <f aca="false">M33*0.995</f>
        <v>73.80517572</v>
      </c>
      <c r="M33" s="139" t="n">
        <f aca="false">F33*0.995</f>
        <v>74.176056</v>
      </c>
      <c r="N33" s="140" t="n">
        <f aca="false">F33/0.995</f>
        <v>74.9234170854271</v>
      </c>
      <c r="O33" s="141" t="n">
        <f aca="false">F33*0.25%</f>
        <v>0.186372</v>
      </c>
    </row>
    <row r="34" s="141" customFormat="true" ht="21.75" hidden="false" customHeight="true" outlineLevel="0" collapsed="false">
      <c r="A34" s="134" t="n">
        <v>9680</v>
      </c>
      <c r="B34" s="135" t="s">
        <v>100</v>
      </c>
      <c r="C34" s="136" t="s">
        <v>222</v>
      </c>
      <c r="D34" s="137" t="n">
        <v>6</v>
      </c>
      <c r="E34" s="138" t="n">
        <f aca="false">VLOOKUP(A34,'TABELA MÃE'!B:I,8,0)</f>
        <v>35.2551090818182</v>
      </c>
      <c r="F34" s="139" t="n">
        <f aca="false">E34*D34</f>
        <v>211.530654490909</v>
      </c>
      <c r="G34" s="146" t="n">
        <v>7898647930445</v>
      </c>
      <c r="H34" s="146" t="n">
        <v>17898647930442</v>
      </c>
      <c r="I34" s="136" t="s">
        <v>202</v>
      </c>
      <c r="J34" s="136" t="s">
        <v>223</v>
      </c>
      <c r="K34" s="139" t="n">
        <f aca="false">L34*0.995</f>
        <v>208.373533031301</v>
      </c>
      <c r="L34" s="139" t="n">
        <f aca="false">M34*0.995</f>
        <v>209.420636212362</v>
      </c>
      <c r="M34" s="139" t="n">
        <f aca="false">F34*0.995</f>
        <v>210.473001218455</v>
      </c>
      <c r="N34" s="140" t="n">
        <f aca="false">F34/0.995</f>
        <v>212.593622603929</v>
      </c>
      <c r="O34" s="141" t="n">
        <f aca="false">F34*0.25%</f>
        <v>0.528826636227273</v>
      </c>
    </row>
    <row r="35" s="141" customFormat="true" ht="21.75" hidden="false" customHeight="true" outlineLevel="0" collapsed="false">
      <c r="A35" s="134" t="n">
        <v>9681</v>
      </c>
      <c r="B35" s="135" t="s">
        <v>99</v>
      </c>
      <c r="C35" s="136" t="s">
        <v>222</v>
      </c>
      <c r="D35" s="137" t="n">
        <v>6</v>
      </c>
      <c r="E35" s="138" t="n">
        <f aca="false">VLOOKUP(A35,'TABELA MÃE'!B:I,8,0)</f>
        <v>31.8504909</v>
      </c>
      <c r="F35" s="139" t="n">
        <f aca="false">E35*D35</f>
        <v>191.1029454</v>
      </c>
      <c r="G35" s="146" t="n">
        <v>7898647930452</v>
      </c>
      <c r="H35" s="146" t="n">
        <v>17898647930459</v>
      </c>
      <c r="I35" s="136" t="s">
        <v>202</v>
      </c>
      <c r="J35" s="136" t="s">
        <v>223</v>
      </c>
      <c r="K35" s="139" t="n">
        <f aca="false">L35*0.995</f>
        <v>188.250710052037</v>
      </c>
      <c r="L35" s="139" t="n">
        <f aca="false">M35*0.995</f>
        <v>189.196693519635</v>
      </c>
      <c r="M35" s="139" t="n">
        <f aca="false">F35*0.995</f>
        <v>190.147430673</v>
      </c>
      <c r="N35" s="140" t="n">
        <f aca="false">F35/0.995</f>
        <v>192.063261708543</v>
      </c>
      <c r="O35" s="141" t="n">
        <f aca="false">F35*0.25%</f>
        <v>0.4777573635</v>
      </c>
    </row>
    <row r="36" s="141" customFormat="true" ht="21.75" hidden="false" customHeight="true" outlineLevel="0" collapsed="false">
      <c r="A36" s="143"/>
      <c r="B36" s="143"/>
      <c r="C36" s="143"/>
      <c r="D36" s="143"/>
      <c r="E36" s="144"/>
      <c r="F36" s="143"/>
      <c r="G36" s="143"/>
      <c r="H36" s="143"/>
      <c r="I36" s="143"/>
      <c r="J36" s="143"/>
      <c r="K36" s="143"/>
      <c r="L36" s="143"/>
      <c r="M36" s="143"/>
      <c r="N36" s="145"/>
      <c r="O36" s="141" t="n">
        <f aca="false">F36*0.25%</f>
        <v>0</v>
      </c>
    </row>
    <row r="37" s="141" customFormat="true" ht="21.75" hidden="false" customHeight="true" outlineLevel="0" collapsed="false">
      <c r="A37" s="134" t="n">
        <v>9682</v>
      </c>
      <c r="B37" s="135" t="s">
        <v>221</v>
      </c>
      <c r="C37" s="136" t="s">
        <v>227</v>
      </c>
      <c r="D37" s="137" t="n">
        <v>2</v>
      </c>
      <c r="E37" s="138" t="n">
        <f aca="false">VLOOKUP(A37,'TABELA MÃE'!B:I,8,0)</f>
        <v>48.0531436363636</v>
      </c>
      <c r="F37" s="139" t="n">
        <f aca="false">E37*D37</f>
        <v>96.1062872727272</v>
      </c>
      <c r="G37" s="146" t="n">
        <v>7898647930155</v>
      </c>
      <c r="H37" s="146" t="n">
        <v>37898647930156</v>
      </c>
      <c r="I37" s="136" t="s">
        <v>193</v>
      </c>
      <c r="J37" s="136" t="s">
        <v>228</v>
      </c>
      <c r="K37" s="139" t="n">
        <f aca="false">L37*0.995</f>
        <v>94.6718889218958</v>
      </c>
      <c r="L37" s="139" t="n">
        <f aca="false">M37*0.995</f>
        <v>95.1476270571818</v>
      </c>
      <c r="M37" s="139" t="n">
        <f aca="false">F37*0.995</f>
        <v>95.6257558363636</v>
      </c>
      <c r="N37" s="140" t="n">
        <f aca="false">F37/0.995</f>
        <v>96.5892334399268</v>
      </c>
      <c r="O37" s="141" t="n">
        <f aca="false">F37*0.25%</f>
        <v>0.240265718181818</v>
      </c>
    </row>
    <row r="38" s="141" customFormat="true" ht="21.75" hidden="false" customHeight="true" outlineLevel="0" collapsed="false">
      <c r="A38" s="134" t="n">
        <v>9685</v>
      </c>
      <c r="B38" s="135" t="s">
        <v>195</v>
      </c>
      <c r="C38" s="136" t="s">
        <v>227</v>
      </c>
      <c r="D38" s="137" t="n">
        <v>2</v>
      </c>
      <c r="E38" s="138" t="n">
        <f aca="false">VLOOKUP(A38,'TABELA MÃE'!B:I,8,0)</f>
        <v>48.0531436363636</v>
      </c>
      <c r="F38" s="139" t="n">
        <f aca="false">E38*D38</f>
        <v>96.1062872727272</v>
      </c>
      <c r="G38" s="146" t="n">
        <v>7898647930162</v>
      </c>
      <c r="H38" s="146" t="n">
        <v>37898647930163</v>
      </c>
      <c r="I38" s="136" t="s">
        <v>193</v>
      </c>
      <c r="J38" s="136" t="s">
        <v>228</v>
      </c>
      <c r="K38" s="139" t="n">
        <f aca="false">L38*0.995</f>
        <v>94.6718889218958</v>
      </c>
      <c r="L38" s="139" t="n">
        <f aca="false">M38*0.995</f>
        <v>95.1476270571818</v>
      </c>
      <c r="M38" s="139" t="n">
        <f aca="false">F38*0.995</f>
        <v>95.6257558363636</v>
      </c>
      <c r="N38" s="140" t="n">
        <f aca="false">F38/0.995</f>
        <v>96.5892334399268</v>
      </c>
      <c r="O38" s="141" t="n">
        <f aca="false">F38*0.25%</f>
        <v>0.240265718181818</v>
      </c>
    </row>
    <row r="39" s="141" customFormat="true" ht="21.75" hidden="false" customHeight="true" outlineLevel="0" collapsed="false">
      <c r="A39" s="134" t="n">
        <v>9688</v>
      </c>
      <c r="B39" s="135" t="s">
        <v>229</v>
      </c>
      <c r="C39" s="136" t="s">
        <v>227</v>
      </c>
      <c r="D39" s="137" t="n">
        <v>2</v>
      </c>
      <c r="E39" s="138" t="n">
        <f aca="false">VLOOKUP(A39,'TABELA MÃE'!B:I,8,0)</f>
        <v>52.1928</v>
      </c>
      <c r="F39" s="139" t="n">
        <f aca="false">E39*D39</f>
        <v>104.3856</v>
      </c>
      <c r="G39" s="146" t="n">
        <v>7898647930186</v>
      </c>
      <c r="H39" s="146" t="n">
        <v>37898647930187</v>
      </c>
      <c r="I39" s="136" t="s">
        <v>193</v>
      </c>
      <c r="J39" s="136" t="s">
        <v>228</v>
      </c>
      <c r="K39" s="139" t="n">
        <f aca="false">L39*0.995</f>
        <v>102.8276318718</v>
      </c>
      <c r="L39" s="139" t="n">
        <f aca="false">M39*0.995</f>
        <v>103.34435364</v>
      </c>
      <c r="M39" s="139" t="n">
        <f aca="false">F39*0.995</f>
        <v>103.863672</v>
      </c>
      <c r="N39" s="140" t="n">
        <f aca="false">F39/0.995</f>
        <v>104.910150753769</v>
      </c>
      <c r="O39" s="141" t="n">
        <f aca="false">F39*0.25%</f>
        <v>0.260964</v>
      </c>
    </row>
    <row r="40" s="141" customFormat="true" ht="21.75" hidden="false" customHeight="true" outlineLevel="0" collapsed="false">
      <c r="A40" s="134" t="n">
        <v>9683</v>
      </c>
      <c r="B40" s="135" t="s">
        <v>230</v>
      </c>
      <c r="C40" s="136" t="s">
        <v>227</v>
      </c>
      <c r="D40" s="137" t="n">
        <v>2</v>
      </c>
      <c r="E40" s="138" t="n">
        <f aca="false">VLOOKUP(A40,'TABELA MÃE'!B:I,8,0)</f>
        <v>65.9382545454545</v>
      </c>
      <c r="F40" s="139" t="n">
        <f aca="false">E40*D40</f>
        <v>131.876509090909</v>
      </c>
      <c r="G40" s="146" t="n">
        <v>7898647930186</v>
      </c>
      <c r="H40" s="146" t="n">
        <v>37898647930187</v>
      </c>
      <c r="I40" s="136" t="s">
        <v>193</v>
      </c>
      <c r="J40" s="136" t="s">
        <v>228</v>
      </c>
      <c r="K40" s="139" t="n">
        <f aca="false">L40*0.995</f>
        <v>129.908235708164</v>
      </c>
      <c r="L40" s="139" t="n">
        <f aca="false">M40*0.995</f>
        <v>130.561040912727</v>
      </c>
      <c r="M40" s="139" t="n">
        <f aca="false">F40*0.995</f>
        <v>131.217126545454</v>
      </c>
      <c r="N40" s="140" t="n">
        <f aca="false">F40/0.995</f>
        <v>132.539205116491</v>
      </c>
      <c r="O40" s="141" t="n">
        <f aca="false">F40*0.25%</f>
        <v>0.329691272727273</v>
      </c>
    </row>
    <row r="41" s="141" customFormat="true" ht="21.75" hidden="false" customHeight="true" outlineLevel="0" collapsed="false">
      <c r="A41" s="134" t="n">
        <v>9686</v>
      </c>
      <c r="B41" s="135" t="s">
        <v>231</v>
      </c>
      <c r="C41" s="136" t="s">
        <v>227</v>
      </c>
      <c r="D41" s="137" t="n">
        <v>2</v>
      </c>
      <c r="E41" s="138" t="n">
        <f aca="false">VLOOKUP(A41,'TABELA MÃE'!B:I,8,0)</f>
        <v>65.9382545454545</v>
      </c>
      <c r="F41" s="139" t="n">
        <f aca="false">E41*D41</f>
        <v>131.876509090909</v>
      </c>
      <c r="G41" s="146" t="n">
        <v>7898647930186</v>
      </c>
      <c r="H41" s="146" t="n">
        <v>37898647930187</v>
      </c>
      <c r="I41" s="136" t="s">
        <v>193</v>
      </c>
      <c r="J41" s="136" t="s">
        <v>228</v>
      </c>
      <c r="K41" s="139" t="n">
        <f aca="false">L41*0.995</f>
        <v>129.908235708164</v>
      </c>
      <c r="L41" s="139" t="n">
        <f aca="false">M41*0.995</f>
        <v>130.561040912727</v>
      </c>
      <c r="M41" s="139" t="n">
        <f aca="false">F41*0.995</f>
        <v>131.217126545454</v>
      </c>
      <c r="N41" s="140" t="n">
        <f aca="false">F41/0.995</f>
        <v>132.539205116491</v>
      </c>
      <c r="O41" s="141" t="n">
        <f aca="false">F41*0.25%</f>
        <v>0.329691272727273</v>
      </c>
    </row>
    <row r="42" s="141" customFormat="true" ht="21.75" hidden="false" customHeight="true" outlineLevel="0" collapsed="false">
      <c r="A42" s="134" t="n">
        <v>9733</v>
      </c>
      <c r="B42" s="135" t="s">
        <v>224</v>
      </c>
      <c r="C42" s="136" t="s">
        <v>227</v>
      </c>
      <c r="D42" s="137" t="n">
        <v>2</v>
      </c>
      <c r="E42" s="138" t="n">
        <f aca="false">VLOOKUP(A42,'TABELA MÃE'!B:I,8,0)</f>
        <v>49.0676890909091</v>
      </c>
      <c r="F42" s="139" t="n">
        <f aca="false">E42*D42</f>
        <v>98.1353781818182</v>
      </c>
      <c r="G42" s="146" t="n">
        <v>7898647930193</v>
      </c>
      <c r="H42" s="146" t="n">
        <v>37898647930194</v>
      </c>
      <c r="I42" s="136" t="s">
        <v>193</v>
      </c>
      <c r="J42" s="136" t="s">
        <v>228</v>
      </c>
      <c r="K42" s="139" t="n">
        <f aca="false">L42*0.995</f>
        <v>96.6706953955323</v>
      </c>
      <c r="L42" s="139" t="n">
        <f aca="false">M42*0.995</f>
        <v>97.1564777844546</v>
      </c>
      <c r="M42" s="139" t="n">
        <f aca="false">F42*0.995</f>
        <v>97.6447012909091</v>
      </c>
      <c r="N42" s="140" t="n">
        <f aca="false">F42/0.995</f>
        <v>98.6285207857469</v>
      </c>
      <c r="O42" s="141" t="n">
        <f aca="false">F42*0.25%</f>
        <v>0.245338445454546</v>
      </c>
    </row>
    <row r="43" s="141" customFormat="true" ht="21.75" hidden="false" customHeight="true" outlineLevel="0" collapsed="false">
      <c r="A43" s="134" t="n">
        <v>9690</v>
      </c>
      <c r="B43" s="135" t="s">
        <v>225</v>
      </c>
      <c r="C43" s="136" t="s">
        <v>227</v>
      </c>
      <c r="D43" s="137" t="n">
        <v>2</v>
      </c>
      <c r="E43" s="138" t="n">
        <f aca="false">VLOOKUP(A43,'TABELA MÃE'!B:I,8,0)</f>
        <v>43.0131436363636</v>
      </c>
      <c r="F43" s="139" t="n">
        <f aca="false">E43*D43</f>
        <v>86.0262872727272</v>
      </c>
      <c r="G43" s="146" t="n">
        <v>7898647930209</v>
      </c>
      <c r="H43" s="146" t="n">
        <v>37898647930200</v>
      </c>
      <c r="I43" s="136" t="s">
        <v>193</v>
      </c>
      <c r="J43" s="136" t="s">
        <v>228</v>
      </c>
      <c r="K43" s="139" t="n">
        <f aca="false">L43*0.995</f>
        <v>84.7423341818958</v>
      </c>
      <c r="L43" s="139" t="n">
        <f aca="false">M43*0.995</f>
        <v>85.1681750571817</v>
      </c>
      <c r="M43" s="139" t="n">
        <f aca="false">F43*0.995</f>
        <v>85.5961558363636</v>
      </c>
      <c r="N43" s="140" t="n">
        <f aca="false">F43/0.995</f>
        <v>86.4585801735952</v>
      </c>
      <c r="O43" s="141" t="n">
        <f aca="false">F43*0.25%</f>
        <v>0.215065718181818</v>
      </c>
    </row>
    <row r="44" s="142" customFormat="true" ht="21.75" hidden="false" customHeight="true" outlineLevel="0" collapsed="false">
      <c r="A44" s="134" t="n">
        <v>9564</v>
      </c>
      <c r="B44" s="135" t="s">
        <v>226</v>
      </c>
      <c r="C44" s="136" t="s">
        <v>227</v>
      </c>
      <c r="D44" s="137" t="n">
        <v>2</v>
      </c>
      <c r="E44" s="138" t="n">
        <f aca="false">VLOOKUP(A44,'TABELA MÃE'!B:I,8,0)</f>
        <v>30.0204163636364</v>
      </c>
      <c r="F44" s="139" t="n">
        <f aca="false">E44*D44</f>
        <v>60.0408327272728</v>
      </c>
      <c r="G44" s="146" t="n">
        <v>7898647930216</v>
      </c>
      <c r="H44" s="146" t="n">
        <v>37898647930217</v>
      </c>
      <c r="I44" s="136" t="s">
        <v>193</v>
      </c>
      <c r="J44" s="136" t="s">
        <v>228</v>
      </c>
      <c r="K44" s="139" t="n">
        <f aca="false">L44*0.995</f>
        <v>59.1447157937142</v>
      </c>
      <c r="L44" s="139" t="n">
        <f aca="false">M44*0.995</f>
        <v>59.4419254208183</v>
      </c>
      <c r="M44" s="139" t="n">
        <f aca="false">F44*0.995</f>
        <v>59.7406285636364</v>
      </c>
      <c r="N44" s="140" t="n">
        <f aca="false">F44/0.995</f>
        <v>60.3425454545455</v>
      </c>
      <c r="O44" s="142" t="n">
        <f aca="false">F44*0.25%</f>
        <v>0.150102081818182</v>
      </c>
    </row>
    <row r="45" s="141" customFormat="true" ht="21.75" hidden="false" customHeight="true" outlineLevel="0" collapsed="false">
      <c r="A45" s="134" t="n">
        <v>9734</v>
      </c>
      <c r="B45" s="135" t="s">
        <v>100</v>
      </c>
      <c r="C45" s="136" t="s">
        <v>227</v>
      </c>
      <c r="D45" s="137" t="n">
        <v>2</v>
      </c>
      <c r="E45" s="138" t="n">
        <f aca="false">VLOOKUP(A45,'TABELA MÃE'!B:I,8,0)</f>
        <v>74.6724190909091</v>
      </c>
      <c r="F45" s="139" t="n">
        <f aca="false">E45*D45</f>
        <v>149.344838181818</v>
      </c>
      <c r="G45" s="146" t="n">
        <v>7898647930261</v>
      </c>
      <c r="H45" s="146" t="n">
        <v>37898647930262</v>
      </c>
      <c r="I45" s="136" t="s">
        <v>202</v>
      </c>
      <c r="J45" s="136" t="s">
        <v>228</v>
      </c>
      <c r="K45" s="139" t="n">
        <f aca="false">L45*0.995</f>
        <v>147.11584780385</v>
      </c>
      <c r="L45" s="139" t="n">
        <f aca="false">M45*0.995</f>
        <v>147.855123420955</v>
      </c>
      <c r="M45" s="139" t="n">
        <f aca="false">F45*0.995</f>
        <v>148.598113990909</v>
      </c>
      <c r="N45" s="140" t="n">
        <f aca="false">F45/0.995</f>
        <v>150.095314755596</v>
      </c>
      <c r="O45" s="141" t="n">
        <f aca="false">F45*0.25%</f>
        <v>0.373362095454546</v>
      </c>
    </row>
    <row r="46" s="141" customFormat="true" ht="21.75" hidden="false" customHeight="true" outlineLevel="0" collapsed="false">
      <c r="A46" s="134" t="n">
        <v>9684</v>
      </c>
      <c r="B46" s="135" t="s">
        <v>99</v>
      </c>
      <c r="C46" s="136" t="s">
        <v>227</v>
      </c>
      <c r="D46" s="146" t="n">
        <v>2</v>
      </c>
      <c r="E46" s="138" t="n">
        <f aca="false">VLOOKUP(A46,'TABELA MÃE'!B:I,8,0)</f>
        <v>67.9306009090909</v>
      </c>
      <c r="F46" s="139" t="n">
        <f aca="false">E46*D46</f>
        <v>135.861201818182</v>
      </c>
      <c r="G46" s="146" t="n">
        <v>7898647930278</v>
      </c>
      <c r="H46" s="146" t="n">
        <v>37898647930279</v>
      </c>
      <c r="I46" s="136" t="s">
        <v>202</v>
      </c>
      <c r="J46" s="136" t="s">
        <v>228</v>
      </c>
      <c r="K46" s="139" t="n">
        <f aca="false">L46*0.995</f>
        <v>133.833456398395</v>
      </c>
      <c r="L46" s="139" t="n">
        <f aca="false">M46*0.995</f>
        <v>134.505986330045</v>
      </c>
      <c r="M46" s="139" t="n">
        <f aca="false">F46*0.995</f>
        <v>135.181895809091</v>
      </c>
      <c r="N46" s="140" t="n">
        <f aca="false">F46/0.995</f>
        <v>136.543921425308</v>
      </c>
      <c r="O46" s="141" t="n">
        <f aca="false">F46*0.25%</f>
        <v>0.339653004545455</v>
      </c>
    </row>
    <row r="47" s="141" customFormat="true" ht="21.75" hidden="false" customHeight="true" outlineLevel="0" collapsed="false">
      <c r="A47" s="143"/>
      <c r="B47" s="143"/>
      <c r="C47" s="143"/>
      <c r="D47" s="143"/>
      <c r="E47" s="144"/>
      <c r="F47" s="143"/>
      <c r="G47" s="143"/>
      <c r="H47" s="143"/>
      <c r="I47" s="143"/>
      <c r="J47" s="143"/>
      <c r="K47" s="143"/>
      <c r="L47" s="143"/>
      <c r="M47" s="143"/>
      <c r="N47" s="145"/>
      <c r="O47" s="141" t="n">
        <f aca="false">F47*0.25%</f>
        <v>0</v>
      </c>
    </row>
    <row r="48" s="141" customFormat="true" ht="21.75" hidden="false" customHeight="true" outlineLevel="0" collapsed="false">
      <c r="A48" s="134" t="n">
        <v>9627</v>
      </c>
      <c r="B48" s="147" t="s">
        <v>232</v>
      </c>
      <c r="C48" s="148" t="s">
        <v>233</v>
      </c>
      <c r="D48" s="146" t="n">
        <v>25</v>
      </c>
      <c r="E48" s="138" t="n">
        <f aca="false">VLOOKUP(A48,'TABELA MÃE'!B:I,8,0)</f>
        <v>2.8368</v>
      </c>
      <c r="F48" s="139" t="n">
        <f aca="false">E48*D48</f>
        <v>70.92</v>
      </c>
      <c r="G48" s="146" t="n">
        <v>7898647930018</v>
      </c>
      <c r="H48" s="146" t="n">
        <v>17898647930015</v>
      </c>
      <c r="I48" s="136" t="s">
        <v>234</v>
      </c>
      <c r="J48" s="136" t="s">
        <v>235</v>
      </c>
      <c r="K48" s="139" t="n">
        <f aca="false">L48*0.995</f>
        <v>69.861510135</v>
      </c>
      <c r="L48" s="139" t="n">
        <f aca="false">M48*0.995</f>
        <v>70.212573</v>
      </c>
      <c r="M48" s="139" t="n">
        <f aca="false">F48*0.995</f>
        <v>70.5654</v>
      </c>
      <c r="N48" s="140" t="n">
        <f aca="false">F48/0.995</f>
        <v>71.2763819095477</v>
      </c>
      <c r="O48" s="141" t="n">
        <f aca="false">F48*0.25%</f>
        <v>0.1773</v>
      </c>
    </row>
    <row r="49" s="141" customFormat="true" ht="21.75" hidden="false" customHeight="true" outlineLevel="0" collapsed="false">
      <c r="A49" s="134" t="n">
        <v>9628</v>
      </c>
      <c r="B49" s="149" t="s">
        <v>236</v>
      </c>
      <c r="C49" s="150" t="s">
        <v>233</v>
      </c>
      <c r="D49" s="151" t="n">
        <v>25</v>
      </c>
      <c r="E49" s="138" t="n">
        <f aca="false">VLOOKUP(A49,'TABELA MÃE'!B:I,8,0)</f>
        <v>4.2768</v>
      </c>
      <c r="F49" s="152" t="n">
        <f aca="false">E49*D49</f>
        <v>106.92</v>
      </c>
      <c r="G49" s="151" t="n">
        <v>7898647930025</v>
      </c>
      <c r="H49" s="151" t="n">
        <v>17898647930022</v>
      </c>
      <c r="I49" s="153" t="s">
        <v>234</v>
      </c>
      <c r="J49" s="153" t="s">
        <v>237</v>
      </c>
      <c r="K49" s="139" t="n">
        <f aca="false">L49*0.995</f>
        <v>105.324205635</v>
      </c>
      <c r="L49" s="139" t="n">
        <f aca="false">M49*0.995</f>
        <v>105.853473</v>
      </c>
      <c r="M49" s="139" t="n">
        <f aca="false">F49*0.995</f>
        <v>106.3854</v>
      </c>
      <c r="N49" s="140" t="n">
        <f aca="false">F49/0.995</f>
        <v>107.457286432161</v>
      </c>
      <c r="O49" s="141" t="n">
        <f aca="false">F49*0.25%</f>
        <v>0.2673</v>
      </c>
    </row>
    <row r="50" customFormat="false" ht="23.85" hidden="false" customHeight="false" outlineLevel="0" collapsed="false">
      <c r="A50" s="154"/>
      <c r="B50" s="154"/>
      <c r="C50" s="154"/>
      <c r="D50" s="154"/>
      <c r="E50" s="155"/>
      <c r="F50" s="156"/>
      <c r="G50" s="157" t="s">
        <v>238</v>
      </c>
      <c r="H50" s="158"/>
      <c r="I50" s="158"/>
      <c r="J50" s="158"/>
      <c r="K50" s="159"/>
      <c r="L50" s="159"/>
    </row>
  </sheetData>
  <mergeCells count="1">
    <mergeCell ref="A1:N1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EF2CD"/>
    <pageSetUpPr fitToPage="true"/>
  </sheetPr>
  <dimension ref="A1:O50"/>
  <sheetViews>
    <sheetView showFormulas="false" showGridLines="true" showRowColHeaders="true" showZeros="true" rightToLeft="false" tabSelected="false" showOutlineSymbols="true" defaultGridColor="true" view="normal" topLeftCell="A34" colorId="64" zoomScale="100" zoomScaleNormal="100" zoomScalePageLayoutView="100" workbookViewId="0">
      <selection pane="topLeft" activeCell="E40" activeCellId="0" sqref="A2:J52"/>
    </sheetView>
  </sheetViews>
  <sheetFormatPr defaultColWidth="9.109375" defaultRowHeight="13.5" zeroHeight="false" outlineLevelRow="0" outlineLevelCol="0"/>
  <cols>
    <col collapsed="false" customWidth="true" hidden="false" outlineLevel="0" max="1" min="1" style="117" width="11.56"/>
    <col collapsed="false" customWidth="true" hidden="false" outlineLevel="0" max="2" min="2" style="118" width="38.11"/>
    <col collapsed="false" customWidth="true" hidden="false" outlineLevel="0" max="3" min="3" style="117" width="15.44"/>
    <col collapsed="false" customWidth="true" hidden="false" outlineLevel="0" max="4" min="4" style="117" width="13.56"/>
    <col collapsed="false" customWidth="true" hidden="false" outlineLevel="0" max="5" min="5" style="119" width="15.66"/>
    <col collapsed="false" customWidth="true" hidden="false" outlineLevel="0" max="6" min="6" style="120" width="15.56"/>
    <col collapsed="false" customWidth="true" hidden="false" outlineLevel="0" max="7" min="7" style="121" width="14.11"/>
    <col collapsed="false" customWidth="true" hidden="false" outlineLevel="0" max="8" min="8" style="117" width="14.56"/>
    <col collapsed="false" customWidth="true" hidden="false" outlineLevel="0" max="10" min="9" style="117" width="14.44"/>
    <col collapsed="false" customWidth="true" hidden="false" outlineLevel="0" max="11" min="11" style="118" width="13.34"/>
    <col collapsed="false" customWidth="true" hidden="false" outlineLevel="0" max="12" min="12" style="117" width="13.34"/>
    <col collapsed="false" customWidth="true" hidden="false" outlineLevel="0" max="13" min="13" style="118" width="13.34"/>
    <col collapsed="false" customWidth="true" hidden="false" outlineLevel="0" max="14" min="14" style="117" width="13.34"/>
    <col collapsed="false" customWidth="true" hidden="false" outlineLevel="0" max="15" min="15" style="122" width="1.44"/>
    <col collapsed="false" customWidth="false" hidden="false" outlineLevel="0" max="16384" min="16" style="122" width="9.11"/>
  </cols>
  <sheetData>
    <row r="1" customFormat="false" ht="83.25" hidden="false" customHeight="true" outlineLevel="0" collapsed="false">
      <c r="A1" s="123" t="s">
        <v>241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4"/>
    </row>
    <row r="2" s="130" customFormat="true" ht="39.55" hidden="false" customHeight="false" outlineLevel="0" collapsed="false">
      <c r="A2" s="125" t="s">
        <v>164</v>
      </c>
      <c r="B2" s="126" t="s">
        <v>178</v>
      </c>
      <c r="C2" s="126" t="s">
        <v>179</v>
      </c>
      <c r="D2" s="127" t="s">
        <v>180</v>
      </c>
      <c r="E2" s="128" t="s">
        <v>181</v>
      </c>
      <c r="F2" s="160" t="s">
        <v>182</v>
      </c>
      <c r="G2" s="126" t="s">
        <v>183</v>
      </c>
      <c r="H2" s="126" t="s">
        <v>184</v>
      </c>
      <c r="I2" s="126" t="s">
        <v>185</v>
      </c>
      <c r="J2" s="126" t="s">
        <v>186</v>
      </c>
      <c r="K2" s="161" t="s">
        <v>187</v>
      </c>
      <c r="L2" s="161" t="s">
        <v>188</v>
      </c>
      <c r="M2" s="161" t="s">
        <v>189</v>
      </c>
      <c r="N2" s="162" t="s">
        <v>190</v>
      </c>
      <c r="O2" s="129" t="n">
        <v>0.0025</v>
      </c>
    </row>
    <row r="3" customFormat="false" ht="13.5" hidden="false" customHeight="false" outlineLevel="0" collapsed="false">
      <c r="A3" s="131"/>
      <c r="B3" s="131"/>
      <c r="C3" s="131"/>
      <c r="D3" s="131"/>
      <c r="E3" s="132"/>
      <c r="F3" s="131"/>
      <c r="G3" s="131"/>
      <c r="H3" s="131"/>
      <c r="I3" s="131"/>
      <c r="J3" s="131"/>
      <c r="K3" s="131"/>
      <c r="L3" s="131"/>
      <c r="M3" s="131"/>
      <c r="N3" s="133"/>
    </row>
    <row r="4" s="141" customFormat="true" ht="21.75" hidden="false" customHeight="true" outlineLevel="0" collapsed="false">
      <c r="A4" s="134" t="n">
        <v>9645</v>
      </c>
      <c r="B4" s="135" t="s">
        <v>191</v>
      </c>
      <c r="C4" s="136" t="s">
        <v>192</v>
      </c>
      <c r="D4" s="137" t="n">
        <v>12</v>
      </c>
      <c r="E4" s="138" t="n">
        <f aca="false">VLOOKUP(A4,'TABELA MÃE'!B:J,9,0)</f>
        <v>5.90706308</v>
      </c>
      <c r="F4" s="139" t="n">
        <f aca="false">E4*D4</f>
        <v>70.88475696</v>
      </c>
      <c r="G4" s="137" t="n">
        <v>7898647930032</v>
      </c>
      <c r="H4" s="137" t="n">
        <v>17898647930039</v>
      </c>
      <c r="I4" s="136" t="s">
        <v>193</v>
      </c>
      <c r="J4" s="136" t="s">
        <v>194</v>
      </c>
      <c r="K4" s="139" t="n">
        <f aca="false">L4*0.995</f>
        <v>69.8267931017774</v>
      </c>
      <c r="L4" s="139" t="n">
        <f aca="false">M4*0.995</f>
        <v>70.177681509324</v>
      </c>
      <c r="M4" s="139" t="n">
        <f aca="false">F4*0.995</f>
        <v>70.5303331752</v>
      </c>
      <c r="N4" s="140" t="n">
        <f aca="false">F4/0.995</f>
        <v>71.2409617688442</v>
      </c>
      <c r="O4" s="141" t="n">
        <f aca="false">F4*0.25%</f>
        <v>0.1772118924</v>
      </c>
    </row>
    <row r="5" s="141" customFormat="true" ht="21.75" hidden="false" customHeight="true" outlineLevel="0" collapsed="false">
      <c r="A5" s="134" t="n">
        <v>9646</v>
      </c>
      <c r="B5" s="135" t="s">
        <v>195</v>
      </c>
      <c r="C5" s="136" t="s">
        <v>192</v>
      </c>
      <c r="D5" s="137" t="n">
        <v>12</v>
      </c>
      <c r="E5" s="138" t="n">
        <f aca="false">VLOOKUP(A5,'TABELA MÃE'!B:J,9,0)</f>
        <v>5.90706308</v>
      </c>
      <c r="F5" s="139" t="n">
        <f aca="false">E5*D5</f>
        <v>70.88475696</v>
      </c>
      <c r="G5" s="137" t="n">
        <v>7898647930049</v>
      </c>
      <c r="H5" s="137" t="n">
        <v>17898647930046</v>
      </c>
      <c r="I5" s="136" t="s">
        <v>193</v>
      </c>
      <c r="J5" s="136" t="s">
        <v>194</v>
      </c>
      <c r="K5" s="139" t="n">
        <f aca="false">L5*0.995</f>
        <v>69.8267931017774</v>
      </c>
      <c r="L5" s="139" t="n">
        <f aca="false">M5*0.995</f>
        <v>70.177681509324</v>
      </c>
      <c r="M5" s="139" t="n">
        <f aca="false">F5*0.995</f>
        <v>70.5303331752</v>
      </c>
      <c r="N5" s="140" t="n">
        <f aca="false">F5/0.995</f>
        <v>71.2409617688442</v>
      </c>
      <c r="O5" s="141" t="n">
        <f aca="false">F5*0.25%</f>
        <v>0.1772118924</v>
      </c>
    </row>
    <row r="6" s="141" customFormat="true" ht="21.75" hidden="false" customHeight="true" outlineLevel="0" collapsed="false">
      <c r="A6" s="134" t="n">
        <v>9648</v>
      </c>
      <c r="B6" s="135" t="s">
        <v>196</v>
      </c>
      <c r="C6" s="136" t="s">
        <v>197</v>
      </c>
      <c r="D6" s="137" t="n">
        <v>12</v>
      </c>
      <c r="E6" s="138" t="n">
        <f aca="false">VLOOKUP(A6,'TABELA MÃE'!B:J,9,0)</f>
        <v>6.14595090909091</v>
      </c>
      <c r="F6" s="139" t="n">
        <f aca="false">E6*D6</f>
        <v>73.7514109090909</v>
      </c>
      <c r="G6" s="137" t="n">
        <v>7898647930063</v>
      </c>
      <c r="H6" s="137" t="n">
        <v>17898647930060</v>
      </c>
      <c r="I6" s="136" t="s">
        <v>193</v>
      </c>
      <c r="J6" s="136" t="s">
        <v>194</v>
      </c>
      <c r="K6" s="139" t="n">
        <f aca="false">L6*0.995</f>
        <v>72.6506618823464</v>
      </c>
      <c r="L6" s="139" t="n">
        <f aca="false">M6*0.995</f>
        <v>73.0157405852727</v>
      </c>
      <c r="M6" s="139" t="n">
        <f aca="false">F6*0.995</f>
        <v>73.3826538545455</v>
      </c>
      <c r="N6" s="140" t="n">
        <f aca="false">F6/0.995</f>
        <v>74.1220210141617</v>
      </c>
      <c r="O6" s="141" t="n">
        <f aca="false">F6*0.25%</f>
        <v>0.184378527272727</v>
      </c>
    </row>
    <row r="7" s="141" customFormat="true" ht="21.75" hidden="false" customHeight="true" outlineLevel="0" collapsed="false">
      <c r="A7" s="134" t="n">
        <v>9655</v>
      </c>
      <c r="B7" s="135" t="s">
        <v>198</v>
      </c>
      <c r="C7" s="136" t="s">
        <v>199</v>
      </c>
      <c r="D7" s="137" t="n">
        <v>12</v>
      </c>
      <c r="E7" s="138" t="n">
        <f aca="false">VLOOKUP(A7,'TABELA MÃE'!B:J,9,0)</f>
        <v>7.11530538181818</v>
      </c>
      <c r="F7" s="139" t="n">
        <f aca="false">E7*D7</f>
        <v>85.3836645818182</v>
      </c>
      <c r="G7" s="137" t="n">
        <v>7898647930711</v>
      </c>
      <c r="H7" s="137" t="n">
        <v>17898647930718</v>
      </c>
      <c r="I7" s="136" t="s">
        <v>193</v>
      </c>
      <c r="J7" s="136" t="s">
        <v>194</v>
      </c>
      <c r="K7" s="139" t="n">
        <f aca="false">L7*0.995</f>
        <v>84.1093027149765</v>
      </c>
      <c r="L7" s="139" t="n">
        <f aca="false">M7*0.995</f>
        <v>84.5319625276145</v>
      </c>
      <c r="M7" s="139" t="n">
        <f aca="false">F7*0.995</f>
        <v>84.9567462589091</v>
      </c>
      <c r="N7" s="140" t="n">
        <f aca="false">F7/0.995</f>
        <v>85.8127282229328</v>
      </c>
      <c r="O7" s="141" t="n">
        <f aca="false">F7*0.25%</f>
        <v>0.213459161454545</v>
      </c>
    </row>
    <row r="8" s="141" customFormat="true" ht="21.75" hidden="false" customHeight="true" outlineLevel="0" collapsed="false">
      <c r="A8" s="134" t="n">
        <v>9653</v>
      </c>
      <c r="B8" s="135" t="s">
        <v>200</v>
      </c>
      <c r="C8" s="136" t="s">
        <v>199</v>
      </c>
      <c r="D8" s="137" t="n">
        <v>12</v>
      </c>
      <c r="E8" s="138" t="n">
        <f aca="false">VLOOKUP(A8,'TABELA MÃE'!B:J,9,0)</f>
        <v>6.72449636363637</v>
      </c>
      <c r="F8" s="139" t="n">
        <f aca="false">E8*D8</f>
        <v>80.6939563636365</v>
      </c>
      <c r="G8" s="137" t="n">
        <v>7898647930865</v>
      </c>
      <c r="H8" s="137" t="n">
        <v>17898647930862</v>
      </c>
      <c r="I8" s="136" t="s">
        <v>193</v>
      </c>
      <c r="J8" s="136" t="s">
        <v>194</v>
      </c>
      <c r="K8" s="139" t="n">
        <f aca="false">L8*0.995</f>
        <v>79.4895889781646</v>
      </c>
      <c r="L8" s="139" t="n">
        <f aca="false">M8*0.995</f>
        <v>79.8890341489092</v>
      </c>
      <c r="M8" s="139" t="n">
        <f aca="false">F8*0.995</f>
        <v>80.2904865818183</v>
      </c>
      <c r="N8" s="140" t="n">
        <f aca="false">F8/0.995</f>
        <v>81.0994536317954</v>
      </c>
    </row>
    <row r="9" s="141" customFormat="true" ht="21.75" hidden="false" customHeight="true" outlineLevel="0" collapsed="false">
      <c r="A9" s="134" t="n">
        <v>9654</v>
      </c>
      <c r="B9" s="135" t="s">
        <v>201</v>
      </c>
      <c r="C9" s="136" t="s">
        <v>192</v>
      </c>
      <c r="D9" s="137" t="n">
        <v>12</v>
      </c>
      <c r="E9" s="138" t="n">
        <f aca="false">VLOOKUP(A9,'TABELA MÃE'!B:J,9,0)</f>
        <v>6.21728853454545</v>
      </c>
      <c r="F9" s="139" t="n">
        <f aca="false">E9*D9</f>
        <v>74.6074624145454</v>
      </c>
      <c r="G9" s="137" t="n">
        <v>7898647930872</v>
      </c>
      <c r="H9" s="137" t="n">
        <v>17898647930879</v>
      </c>
      <c r="I9" s="136" t="s">
        <v>193</v>
      </c>
      <c r="J9" s="136" t="s">
        <v>194</v>
      </c>
      <c r="K9" s="139" t="n">
        <f aca="false">L9*0.995</f>
        <v>73.4939367120755</v>
      </c>
      <c r="L9" s="139" t="n">
        <f aca="false">M9*0.995</f>
        <v>73.8632529769603</v>
      </c>
      <c r="M9" s="139" t="n">
        <f aca="false">F9*0.995</f>
        <v>74.2344251024727</v>
      </c>
      <c r="N9" s="140" t="n">
        <f aca="false">F9/0.995</f>
        <v>74.9823742859753</v>
      </c>
    </row>
    <row r="10" s="141" customFormat="true" ht="21.75" hidden="false" customHeight="true" outlineLevel="0" collapsed="false">
      <c r="A10" s="134" t="n">
        <v>9651</v>
      </c>
      <c r="B10" s="135" t="s">
        <v>100</v>
      </c>
      <c r="C10" s="136" t="s">
        <v>197</v>
      </c>
      <c r="D10" s="137" t="n">
        <v>12</v>
      </c>
      <c r="E10" s="138" t="n">
        <f aca="false">VLOOKUP(A10,'TABELA MÃE'!B:J,9,0)</f>
        <v>9.17339487545455</v>
      </c>
      <c r="F10" s="139" t="n">
        <f aca="false">E10*D10</f>
        <v>110.080738505455</v>
      </c>
      <c r="G10" s="137" t="n">
        <v>7898966673153</v>
      </c>
      <c r="H10" s="137" t="n">
        <v>17898966673150</v>
      </c>
      <c r="I10" s="136" t="s">
        <v>202</v>
      </c>
      <c r="J10" s="136" t="s">
        <v>194</v>
      </c>
      <c r="K10" s="139" t="n">
        <f aca="false">L10*0.995</f>
        <v>108.437769723168</v>
      </c>
      <c r="L10" s="139" t="n">
        <f aca="false">M10*0.995</f>
        <v>108.982683138863</v>
      </c>
      <c r="M10" s="139" t="n">
        <f aca="false">F10*0.995</f>
        <v>109.530334812927</v>
      </c>
      <c r="N10" s="140" t="n">
        <f aca="false">F10/0.995</f>
        <v>110.633908045683</v>
      </c>
      <c r="O10" s="141" t="n">
        <f aca="false">F10*0.25%</f>
        <v>0.275201846263637</v>
      </c>
    </row>
    <row r="11" s="141" customFormat="true" ht="21.75" hidden="false" customHeight="true" outlineLevel="0" collapsed="false">
      <c r="A11" s="134" t="n">
        <v>9652</v>
      </c>
      <c r="B11" s="135" t="s">
        <v>99</v>
      </c>
      <c r="C11" s="136" t="s">
        <v>197</v>
      </c>
      <c r="D11" s="137" t="n">
        <v>12</v>
      </c>
      <c r="E11" s="138" t="n">
        <f aca="false">VLOOKUP(A11,'TABELA MÃE'!B:J,9,0)</f>
        <v>8.52917669363636</v>
      </c>
      <c r="F11" s="139" t="n">
        <f aca="false">E11*D11</f>
        <v>102.350120323636</v>
      </c>
      <c r="G11" s="137" t="n">
        <v>7898966673160</v>
      </c>
      <c r="H11" s="137" t="n">
        <v>17898966673167</v>
      </c>
      <c r="I11" s="136" t="s">
        <v>202</v>
      </c>
      <c r="J11" s="136" t="s">
        <v>194</v>
      </c>
      <c r="K11" s="139" t="n">
        <f aca="false">L11*0.995</f>
        <v>100.822531984041</v>
      </c>
      <c r="L11" s="139" t="n">
        <f aca="false">M11*0.995</f>
        <v>101.329177873408</v>
      </c>
      <c r="M11" s="139" t="n">
        <f aca="false">F11*0.995</f>
        <v>101.838369722018</v>
      </c>
      <c r="N11" s="140" t="n">
        <f aca="false">F11/0.995</f>
        <v>102.864442536318</v>
      </c>
      <c r="O11" s="141" t="n">
        <f aca="false">F11*0.25%</f>
        <v>0.255875300809091</v>
      </c>
    </row>
    <row r="12" s="141" customFormat="true" ht="21.75" hidden="false" customHeight="true" outlineLevel="0" collapsed="false">
      <c r="A12" s="134" t="n">
        <v>9357</v>
      </c>
      <c r="B12" s="135" t="s">
        <v>203</v>
      </c>
      <c r="C12" s="136" t="s">
        <v>204</v>
      </c>
      <c r="D12" s="137" t="n">
        <v>12</v>
      </c>
      <c r="E12" s="138" t="n">
        <f aca="false">VLOOKUP(A12,'TABELA MÃE'!B:J,9,0)</f>
        <v>11.9719713939394</v>
      </c>
      <c r="F12" s="139" t="n">
        <f aca="false">E12*D12</f>
        <v>143.663656727273</v>
      </c>
      <c r="G12" s="137" t="n">
        <v>7898647930070</v>
      </c>
      <c r="H12" s="137" t="n">
        <v>17898647930077</v>
      </c>
      <c r="I12" s="136" t="s">
        <v>193</v>
      </c>
      <c r="J12" s="136" t="s">
        <v>205</v>
      </c>
      <c r="K12" s="139" t="n">
        <f aca="false">L12*0.995</f>
        <v>141.519458692661</v>
      </c>
      <c r="L12" s="139" t="n">
        <f aca="false">M12*0.995</f>
        <v>142.230611751418</v>
      </c>
      <c r="M12" s="139" t="n">
        <f aca="false">F12*0.995</f>
        <v>142.945338443636</v>
      </c>
      <c r="N12" s="140" t="n">
        <f aca="false">F12/0.995</f>
        <v>144.385584650525</v>
      </c>
      <c r="O12" s="141" t="n">
        <f aca="false">F12*0.25%</f>
        <v>0.359159141818182</v>
      </c>
    </row>
    <row r="13" s="141" customFormat="true" ht="21.75" hidden="false" customHeight="true" outlineLevel="0" collapsed="false">
      <c r="A13" s="134" t="n">
        <v>9358</v>
      </c>
      <c r="B13" s="135" t="s">
        <v>200</v>
      </c>
      <c r="C13" s="136" t="s">
        <v>206</v>
      </c>
      <c r="D13" s="137" t="n">
        <v>12</v>
      </c>
      <c r="E13" s="138" t="n">
        <f aca="false">VLOOKUP(A13,'TABELA MÃE'!B:J,9,0)</f>
        <v>12.5020441212121</v>
      </c>
      <c r="F13" s="139" t="n">
        <f aca="false">E13*D13</f>
        <v>150.024529454545</v>
      </c>
      <c r="G13" s="137" t="n">
        <v>7898966673009</v>
      </c>
      <c r="H13" s="137" t="n">
        <v>17898966673013</v>
      </c>
      <c r="I13" s="136" t="s">
        <v>193</v>
      </c>
      <c r="J13" s="136" t="s">
        <v>205</v>
      </c>
      <c r="K13" s="139" t="n">
        <f aca="false">L13*0.995</f>
        <v>147.78539459937</v>
      </c>
      <c r="L13" s="139" t="n">
        <f aca="false">M13*0.995</f>
        <v>148.528034773236</v>
      </c>
      <c r="M13" s="139" t="n">
        <f aca="false">F13*0.995</f>
        <v>149.274406807272</v>
      </c>
      <c r="N13" s="140" t="n">
        <f aca="false">F13/0.995</f>
        <v>150.778421562357</v>
      </c>
      <c r="O13" s="141" t="n">
        <f aca="false">F13*0.25%</f>
        <v>0.375061323636363</v>
      </c>
    </row>
    <row r="14" s="142" customFormat="true" ht="21.75" hidden="false" customHeight="true" outlineLevel="0" collapsed="false">
      <c r="A14" s="134" t="n">
        <v>9359</v>
      </c>
      <c r="B14" s="135" t="s">
        <v>201</v>
      </c>
      <c r="C14" s="136" t="s">
        <v>207</v>
      </c>
      <c r="D14" s="137" t="n">
        <v>12</v>
      </c>
      <c r="E14" s="138" t="n">
        <f aca="false">VLOOKUP(A14,'TABELA MÃE'!B:J,9,0)</f>
        <v>15.0757895757576</v>
      </c>
      <c r="F14" s="139" t="n">
        <f aca="false">E14*D14</f>
        <v>180.909474909091</v>
      </c>
      <c r="G14" s="137" t="n">
        <v>7898966673023</v>
      </c>
      <c r="H14" s="137" t="n">
        <v>17898966673020</v>
      </c>
      <c r="I14" s="136" t="s">
        <v>193</v>
      </c>
      <c r="J14" s="136" t="s">
        <v>205</v>
      </c>
      <c r="K14" s="139" t="n">
        <f aca="false">L14*0.995</f>
        <v>178.209378382389</v>
      </c>
      <c r="L14" s="139" t="n">
        <f aca="false">M14*0.995</f>
        <v>179.104902896873</v>
      </c>
      <c r="M14" s="139" t="n">
        <f aca="false">F14*0.995</f>
        <v>180.004927534546</v>
      </c>
      <c r="N14" s="140" t="n">
        <f aca="false">F14/0.995</f>
        <v>181.81856774783</v>
      </c>
      <c r="O14" s="142" t="n">
        <f aca="false">F14*0.25%</f>
        <v>0.452273687272728</v>
      </c>
    </row>
    <row r="15" s="141" customFormat="true" ht="21.75" hidden="false" customHeight="true" outlineLevel="0" collapsed="false">
      <c r="A15" s="134" t="n">
        <v>9656</v>
      </c>
      <c r="B15" s="135" t="s">
        <v>208</v>
      </c>
      <c r="C15" s="136" t="s">
        <v>207</v>
      </c>
      <c r="D15" s="137" t="n">
        <v>12</v>
      </c>
      <c r="E15" s="138" t="n">
        <f aca="false">VLOOKUP(A15,'TABELA MÃE'!B:J,9,0)</f>
        <v>12.5507545212121</v>
      </c>
      <c r="F15" s="139" t="n">
        <f aca="false">E15*D15</f>
        <v>150.609054254545</v>
      </c>
      <c r="G15" s="137" t="s">
        <v>209</v>
      </c>
      <c r="H15" s="137" t="s">
        <v>210</v>
      </c>
      <c r="I15" s="136" t="s">
        <v>193</v>
      </c>
      <c r="J15" s="136" t="s">
        <v>205</v>
      </c>
      <c r="K15" s="139" t="n">
        <f aca="false">L15*0.995</f>
        <v>148.361195293664</v>
      </c>
      <c r="L15" s="139" t="n">
        <f aca="false">M15*0.995</f>
        <v>149.106728938356</v>
      </c>
      <c r="M15" s="139" t="n">
        <f aca="false">F15*0.995</f>
        <v>149.856008983273</v>
      </c>
      <c r="N15" s="140" t="n">
        <f aca="false">F15/0.995</f>
        <v>151.36588367291</v>
      </c>
      <c r="O15" s="141" t="n">
        <f aca="false">F15*0.25%</f>
        <v>0.376522635636363</v>
      </c>
    </row>
    <row r="16" s="141" customFormat="true" ht="21.75" hidden="false" customHeight="true" outlineLevel="0" collapsed="false">
      <c r="A16" s="143"/>
      <c r="B16" s="143"/>
      <c r="C16" s="143"/>
      <c r="D16" s="143"/>
      <c r="E16" s="144"/>
      <c r="F16" s="143"/>
      <c r="G16" s="143"/>
      <c r="H16" s="143"/>
      <c r="I16" s="143"/>
      <c r="J16" s="143"/>
      <c r="K16" s="143"/>
      <c r="L16" s="143"/>
      <c r="M16" s="143"/>
      <c r="N16" s="145"/>
      <c r="O16" s="141" t="n">
        <f aca="false">F16*0.25%</f>
        <v>0</v>
      </c>
    </row>
    <row r="17" s="141" customFormat="true" ht="21.75" hidden="false" customHeight="true" outlineLevel="0" collapsed="false">
      <c r="A17" s="134" t="n">
        <v>9663</v>
      </c>
      <c r="B17" s="135" t="s">
        <v>203</v>
      </c>
      <c r="C17" s="136" t="s">
        <v>211</v>
      </c>
      <c r="D17" s="137" t="n">
        <v>30</v>
      </c>
      <c r="E17" s="138" t="n">
        <f aca="false">VLOOKUP(A17,'TABELA MÃE'!B:J,9,0)</f>
        <v>1.51466963151515</v>
      </c>
      <c r="F17" s="139" t="n">
        <f aca="false">E17*D17</f>
        <v>45.4400889454545</v>
      </c>
      <c r="G17" s="146" t="n">
        <v>7898647930087</v>
      </c>
      <c r="H17" s="146" t="n">
        <v>17898647930084</v>
      </c>
      <c r="I17" s="136" t="s">
        <v>193</v>
      </c>
      <c r="J17" s="136" t="s">
        <v>212</v>
      </c>
      <c r="K17" s="139" t="n">
        <f aca="false">L17*0.995</f>
        <v>44.7618899379325</v>
      </c>
      <c r="L17" s="139" t="n">
        <f aca="false">M17*0.995</f>
        <v>44.9868240582236</v>
      </c>
      <c r="M17" s="139" t="n">
        <f aca="false">F17*0.995</f>
        <v>45.2128885007272</v>
      </c>
      <c r="N17" s="140" t="n">
        <f aca="false">F17/0.995</f>
        <v>45.6684311009593</v>
      </c>
      <c r="O17" s="141" t="n">
        <f aca="false">F17*0.25%</f>
        <v>0.113600222363636</v>
      </c>
    </row>
    <row r="18" s="141" customFormat="true" ht="21.75" hidden="false" customHeight="true" outlineLevel="0" collapsed="false">
      <c r="A18" s="134" t="n">
        <v>9664</v>
      </c>
      <c r="B18" s="135" t="s">
        <v>195</v>
      </c>
      <c r="C18" s="136" t="s">
        <v>211</v>
      </c>
      <c r="D18" s="137" t="n">
        <v>30</v>
      </c>
      <c r="E18" s="138" t="n">
        <f aca="false">VLOOKUP(A18,'TABELA MÃE'!B:J,9,0)</f>
        <v>2.20392054060606</v>
      </c>
      <c r="F18" s="139" t="n">
        <f aca="false">E18*D18</f>
        <v>66.1176162181818</v>
      </c>
      <c r="G18" s="146" t="s">
        <v>213</v>
      </c>
      <c r="H18" s="146" t="s">
        <v>214</v>
      </c>
      <c r="I18" s="136" t="s">
        <v>193</v>
      </c>
      <c r="J18" s="136" t="s">
        <v>212</v>
      </c>
      <c r="K18" s="139" t="n">
        <f aca="false">L18*0.995</f>
        <v>65.1308025314234</v>
      </c>
      <c r="L18" s="139" t="n">
        <f aca="false">M18*0.995</f>
        <v>65.4580929964054</v>
      </c>
      <c r="M18" s="139" t="n">
        <f aca="false">F18*0.995</f>
        <v>65.7870281370909</v>
      </c>
      <c r="N18" s="140" t="n">
        <f aca="false">F18/0.995</f>
        <v>66.4498655459114</v>
      </c>
      <c r="O18" s="141" t="n">
        <f aca="false">F18*0.25%</f>
        <v>0.165294040545455</v>
      </c>
    </row>
    <row r="19" s="141" customFormat="true" ht="21.75" hidden="false" customHeight="true" outlineLevel="0" collapsed="false">
      <c r="A19" s="134" t="n">
        <v>9665</v>
      </c>
      <c r="B19" s="135" t="s">
        <v>191</v>
      </c>
      <c r="C19" s="136" t="s">
        <v>211</v>
      </c>
      <c r="D19" s="137" t="n">
        <v>30</v>
      </c>
      <c r="E19" s="138" t="n">
        <f aca="false">VLOOKUP(A19,'TABELA MÃE'!B:J,9,0)</f>
        <v>2.20392054060606</v>
      </c>
      <c r="F19" s="139" t="n">
        <f aca="false">E19*D19</f>
        <v>66.1176162181818</v>
      </c>
      <c r="G19" s="146" t="s">
        <v>215</v>
      </c>
      <c r="H19" s="146" t="s">
        <v>216</v>
      </c>
      <c r="I19" s="136" t="s">
        <v>193</v>
      </c>
      <c r="J19" s="136" t="s">
        <v>212</v>
      </c>
      <c r="K19" s="139" t="n">
        <f aca="false">L19*0.995</f>
        <v>65.1308025314234</v>
      </c>
      <c r="L19" s="139" t="n">
        <f aca="false">M19*0.995</f>
        <v>65.4580929964054</v>
      </c>
      <c r="M19" s="139" t="n">
        <f aca="false">F19*0.995</f>
        <v>65.7870281370909</v>
      </c>
      <c r="N19" s="140" t="n">
        <f aca="false">F19/0.995</f>
        <v>66.4498655459114</v>
      </c>
      <c r="O19" s="141" t="n">
        <f aca="false">F19*0.25%</f>
        <v>0.165294040545455</v>
      </c>
    </row>
    <row r="20" s="142" customFormat="true" ht="21.75" hidden="false" customHeight="true" outlineLevel="0" collapsed="false">
      <c r="A20" s="134" t="n">
        <v>9360</v>
      </c>
      <c r="B20" s="135" t="s">
        <v>195</v>
      </c>
      <c r="C20" s="136" t="s">
        <v>217</v>
      </c>
      <c r="D20" s="137" t="n">
        <v>18</v>
      </c>
      <c r="E20" s="138" t="n">
        <f aca="false">VLOOKUP(A20,'TABELA MÃE'!B:J,9,0)</f>
        <v>3.17571070707071</v>
      </c>
      <c r="F20" s="139" t="n">
        <f aca="false">E20*D20</f>
        <v>57.1627927272728</v>
      </c>
      <c r="G20" s="146" t="n">
        <v>7898647930094</v>
      </c>
      <c r="H20" s="146" t="n">
        <v>17898647930091</v>
      </c>
      <c r="I20" s="136" t="s">
        <v>193</v>
      </c>
      <c r="J20" s="136" t="s">
        <v>212</v>
      </c>
      <c r="K20" s="139" t="n">
        <f aca="false">L20*0.995</f>
        <v>56.3096309004691</v>
      </c>
      <c r="L20" s="139" t="n">
        <f aca="false">M20*0.995</f>
        <v>56.5925938698182</v>
      </c>
      <c r="M20" s="139" t="n">
        <f aca="false">F20*0.995</f>
        <v>56.8769787636364</v>
      </c>
      <c r="N20" s="140" t="n">
        <f aca="false">F20/0.995</f>
        <v>57.4500429419827</v>
      </c>
      <c r="O20" s="142" t="n">
        <f aca="false">F20*0.25%</f>
        <v>0.142906981818182</v>
      </c>
    </row>
    <row r="21" s="142" customFormat="true" ht="21.75" hidden="false" customHeight="true" outlineLevel="0" collapsed="false">
      <c r="A21" s="134" t="n">
        <v>9361</v>
      </c>
      <c r="B21" s="135" t="s">
        <v>191</v>
      </c>
      <c r="C21" s="136" t="s">
        <v>217</v>
      </c>
      <c r="D21" s="137" t="n">
        <v>18</v>
      </c>
      <c r="E21" s="138" t="n">
        <f aca="false">VLOOKUP(A21,'TABELA MÃE'!B:J,9,0)</f>
        <v>3.17571070707071</v>
      </c>
      <c r="F21" s="139" t="n">
        <f aca="false">E21*D21</f>
        <v>57.1627927272728</v>
      </c>
      <c r="G21" s="146" t="n">
        <v>7898647930100</v>
      </c>
      <c r="H21" s="146" t="n">
        <v>17898647930107</v>
      </c>
      <c r="I21" s="136" t="s">
        <v>193</v>
      </c>
      <c r="J21" s="136" t="s">
        <v>212</v>
      </c>
      <c r="K21" s="139" t="n">
        <f aca="false">L21*0.995</f>
        <v>56.3096309004691</v>
      </c>
      <c r="L21" s="139" t="n">
        <f aca="false">M21*0.995</f>
        <v>56.5925938698182</v>
      </c>
      <c r="M21" s="139" t="n">
        <f aca="false">F21*0.995</f>
        <v>56.8769787636364</v>
      </c>
      <c r="N21" s="140" t="n">
        <f aca="false">F21/0.995</f>
        <v>57.4500429419827</v>
      </c>
      <c r="O21" s="142" t="n">
        <f aca="false">F21*0.25%</f>
        <v>0.142906981818182</v>
      </c>
    </row>
    <row r="22" s="142" customFormat="true" ht="21.75" hidden="false" customHeight="true" outlineLevel="0" collapsed="false">
      <c r="A22" s="134" t="n">
        <v>9630</v>
      </c>
      <c r="B22" s="135" t="s">
        <v>203</v>
      </c>
      <c r="C22" s="136" t="s">
        <v>218</v>
      </c>
      <c r="D22" s="137" t="n">
        <v>18</v>
      </c>
      <c r="E22" s="138" t="n">
        <f aca="false">VLOOKUP(A22,'TABELA MÃE'!B:J,9,0)</f>
        <v>3.29661607434343</v>
      </c>
      <c r="F22" s="139" t="n">
        <f aca="false">E22*D22</f>
        <v>59.3390893381817</v>
      </c>
      <c r="G22" s="146" t="n">
        <v>7898647930124</v>
      </c>
      <c r="H22" s="146" t="n">
        <v>17898647930121</v>
      </c>
      <c r="I22" s="136" t="s">
        <v>193</v>
      </c>
      <c r="J22" s="136" t="s">
        <v>212</v>
      </c>
      <c r="K22" s="139" t="n">
        <f aca="false">L22*0.995</f>
        <v>58.4534460124232</v>
      </c>
      <c r="L22" s="139" t="n">
        <f aca="false">M22*0.995</f>
        <v>58.7471819220334</v>
      </c>
      <c r="M22" s="139" t="n">
        <f aca="false">F22*0.995</f>
        <v>59.0423938914908</v>
      </c>
      <c r="N22" s="140" t="n">
        <f aca="false">F22/0.995</f>
        <v>59.6372757167656</v>
      </c>
      <c r="O22" s="142" t="n">
        <f aca="false">F22*0.25%</f>
        <v>0.148347723345454</v>
      </c>
    </row>
    <row r="23" s="141" customFormat="true" ht="21.75" hidden="false" customHeight="true" outlineLevel="0" collapsed="false">
      <c r="A23" s="143"/>
      <c r="B23" s="143"/>
      <c r="C23" s="143"/>
      <c r="D23" s="143"/>
      <c r="E23" s="144"/>
      <c r="F23" s="143"/>
      <c r="G23" s="143"/>
      <c r="H23" s="143"/>
      <c r="I23" s="143"/>
      <c r="J23" s="143"/>
      <c r="K23" s="143"/>
      <c r="L23" s="143"/>
      <c r="M23" s="143"/>
      <c r="N23" s="145"/>
      <c r="O23" s="141" t="n">
        <f aca="false">F23*0.25%</f>
        <v>0</v>
      </c>
    </row>
    <row r="24" s="141" customFormat="true" ht="21.75" hidden="false" customHeight="true" outlineLevel="0" collapsed="false">
      <c r="A24" s="134" t="n">
        <v>9673</v>
      </c>
      <c r="B24" s="135" t="s">
        <v>100</v>
      </c>
      <c r="C24" s="136" t="s">
        <v>219</v>
      </c>
      <c r="D24" s="137" t="n">
        <v>30</v>
      </c>
      <c r="E24" s="138" t="n">
        <f aca="false">VLOOKUP(A24,'TABELA MÃE'!B:J,9,0)</f>
        <v>3.83729938606061</v>
      </c>
      <c r="F24" s="139" t="n">
        <f aca="false">E24*D24</f>
        <v>115.118981581818</v>
      </c>
      <c r="G24" s="146" t="n">
        <v>7898647930131</v>
      </c>
      <c r="H24" s="146" t="n">
        <v>17898647930138</v>
      </c>
      <c r="I24" s="136" t="s">
        <v>202</v>
      </c>
      <c r="J24" s="136" t="s">
        <v>212</v>
      </c>
      <c r="K24" s="139" t="n">
        <f aca="false">L24*0.995</f>
        <v>113.400816391837</v>
      </c>
      <c r="L24" s="139" t="n">
        <f aca="false">M24*0.995</f>
        <v>113.97066974054</v>
      </c>
      <c r="M24" s="139" t="n">
        <f aca="false">F24*0.995</f>
        <v>114.543386673909</v>
      </c>
      <c r="N24" s="140" t="n">
        <f aca="false">F24/0.995</f>
        <v>115.697468926451</v>
      </c>
      <c r="O24" s="141" t="n">
        <f aca="false">F24*0.25%</f>
        <v>0.287797453954546</v>
      </c>
    </row>
    <row r="25" s="141" customFormat="true" ht="21.75" hidden="false" customHeight="true" outlineLevel="0" collapsed="false">
      <c r="A25" s="134" t="n">
        <v>10057</v>
      </c>
      <c r="B25" s="135" t="s">
        <v>99</v>
      </c>
      <c r="C25" s="136" t="s">
        <v>219</v>
      </c>
      <c r="D25" s="137" t="n">
        <v>30</v>
      </c>
      <c r="E25" s="138" t="n">
        <f aca="false">VLOOKUP(A25,'TABELA MÃE'!B:J,9,0)</f>
        <v>3.51519029515152</v>
      </c>
      <c r="F25" s="139" t="n">
        <f aca="false">E25*D25</f>
        <v>105.455708854546</v>
      </c>
      <c r="G25" s="146" t="n">
        <v>7898647930148</v>
      </c>
      <c r="H25" s="146" t="n">
        <v>17898647930145</v>
      </c>
      <c r="I25" s="136" t="s">
        <v>202</v>
      </c>
      <c r="J25" s="136" t="s">
        <v>212</v>
      </c>
      <c r="K25" s="139" t="n">
        <f aca="false">L25*0.995</f>
        <v>103.881769217928</v>
      </c>
      <c r="L25" s="139" t="n">
        <f aca="false">M25*0.995</f>
        <v>104.403788158722</v>
      </c>
      <c r="M25" s="139" t="n">
        <f aca="false">F25*0.995</f>
        <v>104.928430310273</v>
      </c>
      <c r="N25" s="140" t="n">
        <f aca="false">F25/0.995</f>
        <v>105.985637039744</v>
      </c>
      <c r="O25" s="141" t="n">
        <f aca="false">F25*0.25%</f>
        <v>0.263639272136364</v>
      </c>
    </row>
    <row r="26" s="141" customFormat="true" ht="21.75" hidden="false" customHeight="true" outlineLevel="0" collapsed="false">
      <c r="A26" s="143"/>
      <c r="B26" s="143"/>
      <c r="C26" s="143"/>
      <c r="D26" s="143"/>
      <c r="E26" s="144"/>
      <c r="F26" s="143"/>
      <c r="G26" s="143"/>
      <c r="H26" s="143"/>
      <c r="I26" s="143"/>
      <c r="J26" s="143"/>
      <c r="K26" s="143"/>
      <c r="L26" s="143"/>
      <c r="M26" s="143"/>
      <c r="N26" s="145"/>
      <c r="O26" s="141" t="n">
        <f aca="false">F26*0.25%</f>
        <v>0</v>
      </c>
    </row>
    <row r="27" s="142" customFormat="true" ht="21.75" hidden="false" customHeight="true" outlineLevel="0" collapsed="false">
      <c r="A27" s="134" t="n">
        <v>9565</v>
      </c>
      <c r="B27" s="135" t="s">
        <v>203</v>
      </c>
      <c r="C27" s="136" t="s">
        <v>220</v>
      </c>
      <c r="D27" s="137" t="n">
        <v>36</v>
      </c>
      <c r="E27" s="138" t="n">
        <f aca="false">VLOOKUP(A27,'TABELA MÃE'!B:J,9,0)</f>
        <v>1.17649890262626</v>
      </c>
      <c r="F27" s="139" t="n">
        <f aca="false">E27*D27</f>
        <v>42.3539604945454</v>
      </c>
      <c r="G27" s="146" t="n">
        <v>7898647930476</v>
      </c>
      <c r="H27" s="146" t="n">
        <v>17898647930473</v>
      </c>
      <c r="I27" s="136" t="s">
        <v>193</v>
      </c>
      <c r="J27" s="136" t="s">
        <v>212</v>
      </c>
      <c r="K27" s="139" t="n">
        <f aca="false">L27*0.995</f>
        <v>41.7218223399192</v>
      </c>
      <c r="L27" s="139" t="n">
        <f aca="false">M27*0.995</f>
        <v>41.9314797386123</v>
      </c>
      <c r="M27" s="139" t="n">
        <f aca="false">F27*0.995</f>
        <v>42.1421906920726</v>
      </c>
      <c r="N27" s="140" t="n">
        <f aca="false">F27/0.995</f>
        <v>42.5667944668798</v>
      </c>
      <c r="O27" s="142" t="n">
        <f aca="false">F27*0.25%</f>
        <v>0.105884901236363</v>
      </c>
    </row>
    <row r="28" s="141" customFormat="true" ht="21.75" hidden="false" customHeight="true" outlineLevel="0" collapsed="false">
      <c r="A28" s="143"/>
      <c r="B28" s="143"/>
      <c r="C28" s="143"/>
      <c r="D28" s="143"/>
      <c r="E28" s="144"/>
      <c r="F28" s="143"/>
      <c r="G28" s="143"/>
      <c r="H28" s="143"/>
      <c r="I28" s="143"/>
      <c r="J28" s="143"/>
      <c r="K28" s="143"/>
      <c r="L28" s="143"/>
      <c r="M28" s="143"/>
      <c r="N28" s="145"/>
      <c r="O28" s="141" t="n">
        <f aca="false">F28*0.25%</f>
        <v>0</v>
      </c>
    </row>
    <row r="29" s="141" customFormat="true" ht="21.75" hidden="false" customHeight="true" outlineLevel="0" collapsed="false">
      <c r="A29" s="134" t="n">
        <v>9674</v>
      </c>
      <c r="B29" s="135" t="s">
        <v>221</v>
      </c>
      <c r="C29" s="136" t="s">
        <v>222</v>
      </c>
      <c r="D29" s="137" t="n">
        <v>6</v>
      </c>
      <c r="E29" s="138" t="n">
        <f aca="false">VLOOKUP(A29,'TABELA MÃE'!B:J,9,0)</f>
        <v>20.5743793939394</v>
      </c>
      <c r="F29" s="139" t="n">
        <f aca="false">E29*D29</f>
        <v>123.446276363636</v>
      </c>
      <c r="G29" s="146" t="n">
        <v>7898647930308</v>
      </c>
      <c r="H29" s="146" t="n">
        <v>17898647930305</v>
      </c>
      <c r="I29" s="136" t="s">
        <v>193</v>
      </c>
      <c r="J29" s="136" t="s">
        <v>223</v>
      </c>
      <c r="K29" s="139" t="n">
        <f aca="false">L29*0.995</f>
        <v>121.603825258125</v>
      </c>
      <c r="L29" s="139" t="n">
        <f aca="false">M29*0.995</f>
        <v>122.214899756909</v>
      </c>
      <c r="M29" s="139" t="n">
        <f aca="false">F29*0.995</f>
        <v>122.829044981818</v>
      </c>
      <c r="N29" s="140" t="n">
        <f aca="false">F29/0.995</f>
        <v>124.06660941069</v>
      </c>
      <c r="O29" s="141" t="n">
        <f aca="false">F29*0.25%</f>
        <v>0.308615690909091</v>
      </c>
    </row>
    <row r="30" s="141" customFormat="true" ht="21.75" hidden="false" customHeight="true" outlineLevel="0" collapsed="false">
      <c r="A30" s="134" t="n">
        <v>9675</v>
      </c>
      <c r="B30" s="135" t="s">
        <v>195</v>
      </c>
      <c r="C30" s="136" t="s">
        <v>222</v>
      </c>
      <c r="D30" s="137" t="n">
        <v>6</v>
      </c>
      <c r="E30" s="138" t="n">
        <f aca="false">VLOOKUP(A30,'TABELA MÃE'!B:J,9,0)</f>
        <v>20.5743793939394</v>
      </c>
      <c r="F30" s="139" t="n">
        <f aca="false">E30*D30</f>
        <v>123.446276363636</v>
      </c>
      <c r="G30" s="146" t="n">
        <v>7898647930377</v>
      </c>
      <c r="H30" s="146" t="n">
        <v>17898647930312</v>
      </c>
      <c r="I30" s="136" t="s">
        <v>193</v>
      </c>
      <c r="J30" s="136" t="s">
        <v>223</v>
      </c>
      <c r="K30" s="139" t="n">
        <f aca="false">L30*0.995</f>
        <v>121.603825258125</v>
      </c>
      <c r="L30" s="139" t="n">
        <f aca="false">M30*0.995</f>
        <v>122.214899756909</v>
      </c>
      <c r="M30" s="139" t="n">
        <f aca="false">F30*0.995</f>
        <v>122.829044981818</v>
      </c>
      <c r="N30" s="140" t="n">
        <f aca="false">F30/0.995</f>
        <v>124.06660941069</v>
      </c>
      <c r="O30" s="141" t="n">
        <f aca="false">F30*0.25%</f>
        <v>0.308615690909091</v>
      </c>
    </row>
    <row r="31" s="141" customFormat="true" ht="21.75" hidden="false" customHeight="true" outlineLevel="0" collapsed="false">
      <c r="A31" s="134" t="n">
        <v>9677</v>
      </c>
      <c r="B31" s="135" t="s">
        <v>224</v>
      </c>
      <c r="C31" s="136" t="s">
        <v>222</v>
      </c>
      <c r="D31" s="137" t="n">
        <v>6</v>
      </c>
      <c r="E31" s="138" t="n">
        <f aca="false">VLOOKUP(A31,'TABELA MÃE'!B:J,9,0)</f>
        <v>21.0639539393939</v>
      </c>
      <c r="F31" s="139" t="n">
        <f aca="false">E31*D31</f>
        <v>126.383723636363</v>
      </c>
      <c r="G31" s="146" t="n">
        <v>7898647930346</v>
      </c>
      <c r="H31" s="146" t="n">
        <v>17898647930343</v>
      </c>
      <c r="I31" s="136" t="s">
        <v>193</v>
      </c>
      <c r="J31" s="136" t="s">
        <v>223</v>
      </c>
      <c r="K31" s="139" t="n">
        <f aca="false">L31*0.995</f>
        <v>124.497430763125</v>
      </c>
      <c r="L31" s="139" t="n">
        <f aca="false">M31*0.995</f>
        <v>125.123045993091</v>
      </c>
      <c r="M31" s="139" t="n">
        <f aca="false">F31*0.995</f>
        <v>125.751805018182</v>
      </c>
      <c r="N31" s="140" t="n">
        <f aca="false">F31/0.995</f>
        <v>127.018817724988</v>
      </c>
      <c r="O31" s="141" t="n">
        <f aca="false">F31*0.25%</f>
        <v>0.315959309090909</v>
      </c>
    </row>
    <row r="32" s="141" customFormat="true" ht="21.75" hidden="false" customHeight="true" outlineLevel="0" collapsed="false">
      <c r="A32" s="134" t="n">
        <v>9678</v>
      </c>
      <c r="B32" s="135" t="s">
        <v>225</v>
      </c>
      <c r="C32" s="136" t="s">
        <v>222</v>
      </c>
      <c r="D32" s="137" t="n">
        <v>6</v>
      </c>
      <c r="E32" s="138" t="n">
        <f aca="false">VLOOKUP(A32,'TABELA MÃE'!B:J,9,0)</f>
        <v>18.1422993939394</v>
      </c>
      <c r="F32" s="139" t="n">
        <f aca="false">E32*D32</f>
        <v>108.853796363636</v>
      </c>
      <c r="G32" s="146" t="n">
        <v>7898647930353</v>
      </c>
      <c r="H32" s="146" t="n">
        <v>17898647930350</v>
      </c>
      <c r="I32" s="136" t="s">
        <v>193</v>
      </c>
      <c r="J32" s="136" t="s">
        <v>223</v>
      </c>
      <c r="K32" s="139" t="n">
        <f aca="false">L32*0.995</f>
        <v>107.229139846185</v>
      </c>
      <c r="L32" s="139" t="n">
        <f aca="false">M32*0.995</f>
        <v>107.767979744909</v>
      </c>
      <c r="M32" s="139" t="n">
        <f aca="false">F32*0.995</f>
        <v>108.309527381818</v>
      </c>
      <c r="N32" s="140" t="n">
        <f aca="false">F32/0.995</f>
        <v>109.400800365464</v>
      </c>
      <c r="O32" s="141" t="n">
        <f aca="false">F32*0.25%</f>
        <v>0.272134490909091</v>
      </c>
    </row>
    <row r="33" s="141" customFormat="true" ht="21.75" hidden="false" customHeight="true" outlineLevel="0" collapsed="false">
      <c r="A33" s="134" t="n">
        <v>9679</v>
      </c>
      <c r="B33" s="135" t="s">
        <v>226</v>
      </c>
      <c r="C33" s="136" t="s">
        <v>222</v>
      </c>
      <c r="D33" s="137" t="n">
        <v>6</v>
      </c>
      <c r="E33" s="138" t="n">
        <f aca="false">VLOOKUP(A33,'TABELA MÃE'!B:J,9,0)</f>
        <v>11.8725866666667</v>
      </c>
      <c r="F33" s="139" t="n">
        <f aca="false">E33*D33</f>
        <v>71.2355200000002</v>
      </c>
      <c r="G33" s="146" t="n">
        <v>7898647930360</v>
      </c>
      <c r="H33" s="146" t="n">
        <v>17898647930367</v>
      </c>
      <c r="I33" s="136" t="s">
        <v>193</v>
      </c>
      <c r="J33" s="136" t="s">
        <v>223</v>
      </c>
      <c r="K33" s="139" t="n">
        <f aca="false">L33*0.995</f>
        <v>70.1723209595602</v>
      </c>
      <c r="L33" s="139" t="n">
        <f aca="false">M33*0.995</f>
        <v>70.5249456880002</v>
      </c>
      <c r="M33" s="139" t="n">
        <f aca="false">F33*0.995</f>
        <v>70.8793424000002</v>
      </c>
      <c r="N33" s="140" t="n">
        <f aca="false">F33/0.995</f>
        <v>71.5934874371861</v>
      </c>
      <c r="O33" s="141" t="n">
        <f aca="false">F33*0.25%</f>
        <v>0.178088800000001</v>
      </c>
    </row>
    <row r="34" s="141" customFormat="true" ht="21.75" hidden="false" customHeight="true" outlineLevel="0" collapsed="false">
      <c r="A34" s="134" t="n">
        <v>9680</v>
      </c>
      <c r="B34" s="135" t="s">
        <v>100</v>
      </c>
      <c r="C34" s="136" t="s">
        <v>222</v>
      </c>
      <c r="D34" s="137" t="n">
        <v>6</v>
      </c>
      <c r="E34" s="138" t="n">
        <f aca="false">VLOOKUP(A34,'TABELA MÃE'!B:J,9,0)</f>
        <v>33.6882153448485</v>
      </c>
      <c r="F34" s="139" t="n">
        <f aca="false">E34*D34</f>
        <v>202.129292069091</v>
      </c>
      <c r="G34" s="146" t="n">
        <v>7898647930445</v>
      </c>
      <c r="H34" s="146" t="n">
        <v>17898647930442</v>
      </c>
      <c r="I34" s="136" t="s">
        <v>202</v>
      </c>
      <c r="J34" s="136" t="s">
        <v>223</v>
      </c>
      <c r="K34" s="139" t="n">
        <f aca="false">L34*0.995</f>
        <v>199.112487118798</v>
      </c>
      <c r="L34" s="139" t="n">
        <f aca="false">M34*0.995</f>
        <v>200.113052380702</v>
      </c>
      <c r="M34" s="139" t="n">
        <f aca="false">F34*0.995</f>
        <v>201.118645608746</v>
      </c>
      <c r="N34" s="140" t="n">
        <f aca="false">F34/0.995</f>
        <v>203.145017154865</v>
      </c>
      <c r="O34" s="141" t="n">
        <f aca="false">F34*0.25%</f>
        <v>0.505323230172728</v>
      </c>
    </row>
    <row r="35" s="141" customFormat="true" ht="21.75" hidden="false" customHeight="true" outlineLevel="0" collapsed="false">
      <c r="A35" s="134" t="n">
        <v>9681</v>
      </c>
      <c r="B35" s="135" t="s">
        <v>99</v>
      </c>
      <c r="C35" s="136" t="s">
        <v>222</v>
      </c>
      <c r="D35" s="137" t="n">
        <v>6</v>
      </c>
      <c r="E35" s="138" t="n">
        <f aca="false">VLOOKUP(A35,'TABELA MÃE'!B:J,9,0)</f>
        <v>30.4349135266667</v>
      </c>
      <c r="F35" s="139" t="n">
        <f aca="false">E35*D35</f>
        <v>182.60948116</v>
      </c>
      <c r="G35" s="146" t="n">
        <v>7898647930452</v>
      </c>
      <c r="H35" s="146" t="n">
        <v>17898647930459</v>
      </c>
      <c r="I35" s="136" t="s">
        <v>202</v>
      </c>
      <c r="J35" s="136" t="s">
        <v>223</v>
      </c>
      <c r="K35" s="139" t="n">
        <f aca="false">L35*0.995</f>
        <v>179.884011827502</v>
      </c>
      <c r="L35" s="139" t="n">
        <f aca="false">M35*0.995</f>
        <v>180.787951585429</v>
      </c>
      <c r="M35" s="139" t="n">
        <f aca="false">F35*0.995</f>
        <v>181.6964337542</v>
      </c>
      <c r="N35" s="140" t="n">
        <f aca="false">F35/0.995</f>
        <v>183.527116743719</v>
      </c>
      <c r="O35" s="141" t="n">
        <f aca="false">F35*0.25%</f>
        <v>0.456523702900001</v>
      </c>
    </row>
    <row r="36" s="141" customFormat="true" ht="21.75" hidden="false" customHeight="true" outlineLevel="0" collapsed="false">
      <c r="A36" s="143"/>
      <c r="B36" s="143"/>
      <c r="C36" s="143"/>
      <c r="D36" s="143"/>
      <c r="E36" s="144"/>
      <c r="F36" s="143"/>
      <c r="G36" s="143"/>
      <c r="H36" s="143"/>
      <c r="I36" s="143"/>
      <c r="J36" s="143"/>
      <c r="K36" s="143"/>
      <c r="L36" s="143"/>
      <c r="M36" s="143"/>
      <c r="N36" s="145"/>
      <c r="O36" s="141" t="n">
        <f aca="false">F36*0.25%</f>
        <v>0</v>
      </c>
    </row>
    <row r="37" s="141" customFormat="true" ht="21.75" hidden="false" customHeight="true" outlineLevel="0" collapsed="false">
      <c r="A37" s="134" t="n">
        <v>9682</v>
      </c>
      <c r="B37" s="135" t="s">
        <v>221</v>
      </c>
      <c r="C37" s="136" t="s">
        <v>227</v>
      </c>
      <c r="D37" s="137" t="n">
        <v>2</v>
      </c>
      <c r="E37" s="138" t="n">
        <f aca="false">VLOOKUP(A37,'TABELA MÃE'!B:J,9,0)</f>
        <v>45.9174483636364</v>
      </c>
      <c r="F37" s="139" t="n">
        <f aca="false">E37*D37</f>
        <v>91.8348967272728</v>
      </c>
      <c r="G37" s="146" t="n">
        <v>7898647930155</v>
      </c>
      <c r="H37" s="146" t="n">
        <v>37898647930156</v>
      </c>
      <c r="I37" s="136" t="s">
        <v>193</v>
      </c>
      <c r="J37" s="136" t="s">
        <v>228</v>
      </c>
      <c r="K37" s="139" t="n">
        <f aca="false">L37*0.995</f>
        <v>90.4642494142562</v>
      </c>
      <c r="L37" s="139" t="n">
        <f aca="false">M37*0.995</f>
        <v>90.9188436324183</v>
      </c>
      <c r="M37" s="139" t="n">
        <f aca="false">F37*0.995</f>
        <v>91.3757222436365</v>
      </c>
      <c r="N37" s="140" t="n">
        <f aca="false">F37/0.995</f>
        <v>92.2963786203747</v>
      </c>
      <c r="O37" s="141" t="n">
        <f aca="false">F37*0.25%</f>
        <v>0.229587241818182</v>
      </c>
    </row>
    <row r="38" s="141" customFormat="true" ht="21.75" hidden="false" customHeight="true" outlineLevel="0" collapsed="false">
      <c r="A38" s="134" t="n">
        <v>9685</v>
      </c>
      <c r="B38" s="135" t="s">
        <v>195</v>
      </c>
      <c r="C38" s="136" t="s">
        <v>227</v>
      </c>
      <c r="D38" s="137" t="n">
        <v>2</v>
      </c>
      <c r="E38" s="138" t="n">
        <f aca="false">VLOOKUP(A38,'TABELA MÃE'!B:J,9,0)</f>
        <v>45.9174483636364</v>
      </c>
      <c r="F38" s="139" t="n">
        <f aca="false">E38*D38</f>
        <v>91.8348967272728</v>
      </c>
      <c r="G38" s="146" t="n">
        <v>7898647930162</v>
      </c>
      <c r="H38" s="146" t="n">
        <v>37898647930163</v>
      </c>
      <c r="I38" s="136" t="s">
        <v>193</v>
      </c>
      <c r="J38" s="136" t="s">
        <v>228</v>
      </c>
      <c r="K38" s="139" t="n">
        <f aca="false">L38*0.995</f>
        <v>90.4642494142562</v>
      </c>
      <c r="L38" s="139" t="n">
        <f aca="false">M38*0.995</f>
        <v>90.9188436324183</v>
      </c>
      <c r="M38" s="139" t="n">
        <f aca="false">F38*0.995</f>
        <v>91.3757222436365</v>
      </c>
      <c r="N38" s="140" t="n">
        <f aca="false">F38/0.995</f>
        <v>92.2963786203747</v>
      </c>
      <c r="O38" s="141" t="n">
        <f aca="false">F38*0.25%</f>
        <v>0.229587241818182</v>
      </c>
    </row>
    <row r="39" s="141" customFormat="true" ht="21.75" hidden="false" customHeight="true" outlineLevel="0" collapsed="false">
      <c r="A39" s="134" t="n">
        <v>9688</v>
      </c>
      <c r="B39" s="135" t="s">
        <v>229</v>
      </c>
      <c r="C39" s="136" t="s">
        <v>227</v>
      </c>
      <c r="D39" s="137" t="n">
        <v>2</v>
      </c>
      <c r="E39" s="138" t="n">
        <f aca="false">VLOOKUP(A39,'TABELA MÃE'!B:J,9,0)</f>
        <v>49.87312</v>
      </c>
      <c r="F39" s="139" t="n">
        <f aca="false">E39*D39</f>
        <v>99.74624</v>
      </c>
      <c r="G39" s="146" t="n">
        <v>7898647930186</v>
      </c>
      <c r="H39" s="146" t="n">
        <v>37898647930187</v>
      </c>
      <c r="I39" s="136" t="s">
        <v>193</v>
      </c>
      <c r="J39" s="136" t="s">
        <v>228</v>
      </c>
      <c r="K39" s="139" t="n">
        <f aca="false">L39*0.995</f>
        <v>98.25751489972</v>
      </c>
      <c r="L39" s="139" t="n">
        <f aca="false">M39*0.995</f>
        <v>98.751271256</v>
      </c>
      <c r="M39" s="139" t="n">
        <f aca="false">F39*0.995</f>
        <v>99.2475088</v>
      </c>
      <c r="N39" s="140" t="n">
        <f aca="false">F39/0.995</f>
        <v>100.247477386935</v>
      </c>
      <c r="O39" s="141" t="n">
        <f aca="false">F39*0.25%</f>
        <v>0.2493656</v>
      </c>
    </row>
    <row r="40" s="141" customFormat="true" ht="21.75" hidden="false" customHeight="true" outlineLevel="0" collapsed="false">
      <c r="A40" s="134" t="n">
        <v>9683</v>
      </c>
      <c r="B40" s="135" t="s">
        <v>230</v>
      </c>
      <c r="C40" s="136" t="s">
        <v>227</v>
      </c>
      <c r="D40" s="137" t="n">
        <v>2</v>
      </c>
      <c r="E40" s="138" t="n">
        <f aca="false">VLOOKUP(A40,'TABELA MÃE'!B:J,9,0)</f>
        <v>63.0076654545455</v>
      </c>
      <c r="F40" s="139" t="n">
        <f aca="false">E40*D40</f>
        <v>126.015330909091</v>
      </c>
      <c r="G40" s="146" t="n">
        <v>7898647930186</v>
      </c>
      <c r="H40" s="146" t="n">
        <v>37898647930187</v>
      </c>
      <c r="I40" s="136" t="s">
        <v>193</v>
      </c>
      <c r="J40" s="136" t="s">
        <v>228</v>
      </c>
      <c r="K40" s="139" t="n">
        <f aca="false">L40*0.995</f>
        <v>124.134536343356</v>
      </c>
      <c r="L40" s="139" t="n">
        <f aca="false">M40*0.995</f>
        <v>124.758327983273</v>
      </c>
      <c r="M40" s="139" t="n">
        <f aca="false">F40*0.995</f>
        <v>125.385254254546</v>
      </c>
      <c r="N40" s="140" t="n">
        <f aca="false">F40/0.995</f>
        <v>126.648573777981</v>
      </c>
      <c r="O40" s="141" t="n">
        <f aca="false">F40*0.25%</f>
        <v>0.315038327272728</v>
      </c>
    </row>
    <row r="41" s="141" customFormat="true" ht="21.75" hidden="false" customHeight="true" outlineLevel="0" collapsed="false">
      <c r="A41" s="134" t="n">
        <v>9686</v>
      </c>
      <c r="B41" s="135" t="s">
        <v>231</v>
      </c>
      <c r="C41" s="136" t="s">
        <v>227</v>
      </c>
      <c r="D41" s="137" t="n">
        <v>2</v>
      </c>
      <c r="E41" s="138" t="n">
        <f aca="false">VLOOKUP(A41,'TABELA MÃE'!B:J,9,0)</f>
        <v>63.0076654545455</v>
      </c>
      <c r="F41" s="139" t="n">
        <f aca="false">E41*D41</f>
        <v>126.015330909091</v>
      </c>
      <c r="G41" s="146" t="n">
        <v>7898647930186</v>
      </c>
      <c r="H41" s="146" t="n">
        <v>37898647930187</v>
      </c>
      <c r="I41" s="136" t="s">
        <v>193</v>
      </c>
      <c r="J41" s="136" t="s">
        <v>228</v>
      </c>
      <c r="K41" s="139" t="n">
        <f aca="false">L41*0.995</f>
        <v>124.134536343356</v>
      </c>
      <c r="L41" s="139" t="n">
        <f aca="false">M41*0.995</f>
        <v>124.758327983273</v>
      </c>
      <c r="M41" s="139" t="n">
        <f aca="false">F41*0.995</f>
        <v>125.385254254546</v>
      </c>
      <c r="N41" s="140" t="n">
        <f aca="false">F41/0.995</f>
        <v>126.648573777981</v>
      </c>
      <c r="O41" s="141" t="n">
        <f aca="false">F41*0.25%</f>
        <v>0.315038327272728</v>
      </c>
    </row>
    <row r="42" s="141" customFormat="true" ht="21.75" hidden="false" customHeight="true" outlineLevel="0" collapsed="false">
      <c r="A42" s="134" t="n">
        <v>9733</v>
      </c>
      <c r="B42" s="135" t="s">
        <v>224</v>
      </c>
      <c r="C42" s="136" t="s">
        <v>227</v>
      </c>
      <c r="D42" s="137" t="n">
        <v>2</v>
      </c>
      <c r="E42" s="138" t="n">
        <f aca="false">VLOOKUP(A42,'TABELA MÃE'!B:J,9,0)</f>
        <v>46.8869029090909</v>
      </c>
      <c r="F42" s="139" t="n">
        <f aca="false">E42*D42</f>
        <v>93.7738058181818</v>
      </c>
      <c r="G42" s="146" t="n">
        <v>7898647930193</v>
      </c>
      <c r="H42" s="146" t="n">
        <v>37898647930194</v>
      </c>
      <c r="I42" s="136" t="s">
        <v>193</v>
      </c>
      <c r="J42" s="136" t="s">
        <v>228</v>
      </c>
      <c r="K42" s="139" t="n">
        <f aca="false">L42*0.995</f>
        <v>92.3742200446197</v>
      </c>
      <c r="L42" s="139" t="n">
        <f aca="false">M42*0.995</f>
        <v>92.8384121051454</v>
      </c>
      <c r="M42" s="139" t="n">
        <f aca="false">F42*0.995</f>
        <v>93.3049367890909</v>
      </c>
      <c r="N42" s="140" t="n">
        <f aca="false">F42/0.995</f>
        <v>94.245030973047</v>
      </c>
      <c r="O42" s="141" t="n">
        <f aca="false">F42*0.25%</f>
        <v>0.234434514545455</v>
      </c>
    </row>
    <row r="43" s="141" customFormat="true" ht="21.75" hidden="false" customHeight="true" outlineLevel="0" collapsed="false">
      <c r="A43" s="134" t="n">
        <v>9690</v>
      </c>
      <c r="B43" s="135" t="s">
        <v>225</v>
      </c>
      <c r="C43" s="136" t="s">
        <v>227</v>
      </c>
      <c r="D43" s="137" t="n">
        <v>2</v>
      </c>
      <c r="E43" s="138" t="n">
        <f aca="false">VLOOKUP(A43,'TABELA MÃE'!B:J,9,0)</f>
        <v>41.1014483636364</v>
      </c>
      <c r="F43" s="139" t="n">
        <f aca="false">E43*D43</f>
        <v>82.2028967272728</v>
      </c>
      <c r="G43" s="146" t="n">
        <v>7898647930209</v>
      </c>
      <c r="H43" s="146" t="n">
        <v>37898647930200</v>
      </c>
      <c r="I43" s="136" t="s">
        <v>193</v>
      </c>
      <c r="J43" s="136" t="s">
        <v>228</v>
      </c>
      <c r="K43" s="139" t="n">
        <f aca="false">L43*0.995</f>
        <v>80.9760082182562</v>
      </c>
      <c r="L43" s="139" t="n">
        <f aca="false">M43*0.995</f>
        <v>81.3829228324183</v>
      </c>
      <c r="M43" s="139" t="n">
        <f aca="false">F43*0.995</f>
        <v>81.7918822436364</v>
      </c>
      <c r="N43" s="140" t="n">
        <f aca="false">F43/0.995</f>
        <v>82.6159766103244</v>
      </c>
      <c r="O43" s="141" t="n">
        <f aca="false">F43*0.25%</f>
        <v>0.205507241818182</v>
      </c>
    </row>
    <row r="44" s="142" customFormat="true" ht="21.75" hidden="false" customHeight="true" outlineLevel="0" collapsed="false">
      <c r="A44" s="134" t="n">
        <v>9564</v>
      </c>
      <c r="B44" s="135" t="s">
        <v>226</v>
      </c>
      <c r="C44" s="136" t="s">
        <v>227</v>
      </c>
      <c r="D44" s="137" t="n">
        <v>2</v>
      </c>
      <c r="E44" s="138" t="n">
        <f aca="false">VLOOKUP(A44,'TABELA MÃE'!B:J,9,0)</f>
        <v>28.6861756363636</v>
      </c>
      <c r="F44" s="139" t="n">
        <f aca="false">E44*D44</f>
        <v>57.3723512727272</v>
      </c>
      <c r="G44" s="146" t="n">
        <v>7898647930216</v>
      </c>
      <c r="H44" s="146" t="n">
        <v>37898647930217</v>
      </c>
      <c r="I44" s="136" t="s">
        <v>193</v>
      </c>
      <c r="J44" s="136" t="s">
        <v>228</v>
      </c>
      <c r="K44" s="139" t="n">
        <f aca="false">L44*0.995</f>
        <v>56.5160617584378</v>
      </c>
      <c r="L44" s="139" t="n">
        <f aca="false">M44*0.995</f>
        <v>56.8000620687818</v>
      </c>
      <c r="M44" s="139" t="n">
        <f aca="false">F44*0.995</f>
        <v>57.0854895163636</v>
      </c>
      <c r="N44" s="140" t="n">
        <f aca="false">F44/0.995</f>
        <v>57.6606545454545</v>
      </c>
      <c r="O44" s="142" t="n">
        <f aca="false">F44*0.25%</f>
        <v>0.143430878181818</v>
      </c>
    </row>
    <row r="45" s="141" customFormat="true" ht="21.75" hidden="false" customHeight="true" outlineLevel="0" collapsed="false">
      <c r="A45" s="134" t="n">
        <v>9734</v>
      </c>
      <c r="B45" s="135" t="s">
        <v>100</v>
      </c>
      <c r="C45" s="136" t="s">
        <v>227</v>
      </c>
      <c r="D45" s="137" t="n">
        <v>2</v>
      </c>
      <c r="E45" s="138" t="n">
        <f aca="false">VLOOKUP(A45,'TABELA MÃE'!B:J,9,0)</f>
        <v>71.3536449090909</v>
      </c>
      <c r="F45" s="139" t="n">
        <f aca="false">E45*D45</f>
        <v>142.707289818182</v>
      </c>
      <c r="G45" s="146" t="n">
        <v>7898647930261</v>
      </c>
      <c r="H45" s="146" t="n">
        <v>37898647930262</v>
      </c>
      <c r="I45" s="136" t="s">
        <v>202</v>
      </c>
      <c r="J45" s="136" t="s">
        <v>228</v>
      </c>
      <c r="K45" s="139" t="n">
        <f aca="false">L45*0.995</f>
        <v>140.577365679234</v>
      </c>
      <c r="L45" s="139" t="n">
        <f aca="false">M45*0.995</f>
        <v>141.283784602245</v>
      </c>
      <c r="M45" s="139" t="n">
        <f aca="false">F45*0.995</f>
        <v>141.993753369091</v>
      </c>
      <c r="N45" s="140" t="n">
        <f aca="false">F45/0.995</f>
        <v>143.42441187757</v>
      </c>
      <c r="O45" s="141" t="n">
        <f aca="false">F45*0.25%</f>
        <v>0.356768224545455</v>
      </c>
    </row>
    <row r="46" s="141" customFormat="true" ht="21.75" hidden="false" customHeight="true" outlineLevel="0" collapsed="false">
      <c r="A46" s="134" t="n">
        <v>9684</v>
      </c>
      <c r="B46" s="135" t="s">
        <v>99</v>
      </c>
      <c r="C46" s="136" t="s">
        <v>227</v>
      </c>
      <c r="D46" s="146" t="n">
        <v>2</v>
      </c>
      <c r="E46" s="138" t="n">
        <f aca="false">VLOOKUP(A46,'TABELA MÃE'!B:J,9,0)</f>
        <v>64.9114630909091</v>
      </c>
      <c r="F46" s="139" t="n">
        <f aca="false">E46*D46</f>
        <v>129.822926181818</v>
      </c>
      <c r="G46" s="146" t="n">
        <v>7898647930278</v>
      </c>
      <c r="H46" s="146" t="n">
        <v>37898647930279</v>
      </c>
      <c r="I46" s="136" t="s">
        <v>202</v>
      </c>
      <c r="J46" s="136" t="s">
        <v>228</v>
      </c>
      <c r="K46" s="139" t="n">
        <f aca="false">L46*0.995</f>
        <v>127.885302780689</v>
      </c>
      <c r="L46" s="139" t="n">
        <f aca="false">M46*0.995</f>
        <v>128.527942493155</v>
      </c>
      <c r="M46" s="139" t="n">
        <f aca="false">F46*0.995</f>
        <v>129.173811550909</v>
      </c>
      <c r="N46" s="140" t="n">
        <f aca="false">F46/0.995</f>
        <v>130.475302695295</v>
      </c>
      <c r="O46" s="141" t="n">
        <f aca="false">F46*0.25%</f>
        <v>0.324557315454545</v>
      </c>
    </row>
    <row r="47" s="141" customFormat="true" ht="21.75" hidden="false" customHeight="true" outlineLevel="0" collapsed="false">
      <c r="A47" s="143"/>
      <c r="B47" s="143"/>
      <c r="C47" s="143"/>
      <c r="D47" s="143"/>
      <c r="E47" s="144"/>
      <c r="F47" s="143"/>
      <c r="G47" s="143"/>
      <c r="H47" s="143"/>
      <c r="I47" s="143"/>
      <c r="J47" s="143"/>
      <c r="K47" s="143"/>
      <c r="L47" s="143"/>
      <c r="M47" s="143"/>
      <c r="N47" s="145"/>
      <c r="O47" s="141" t="n">
        <f aca="false">F47*0.25%</f>
        <v>0</v>
      </c>
    </row>
    <row r="48" s="141" customFormat="true" ht="21.75" hidden="false" customHeight="true" outlineLevel="0" collapsed="false">
      <c r="A48" s="134" t="n">
        <v>9627</v>
      </c>
      <c r="B48" s="147" t="s">
        <v>232</v>
      </c>
      <c r="C48" s="148" t="s">
        <v>233</v>
      </c>
      <c r="D48" s="146" t="n">
        <v>25</v>
      </c>
      <c r="E48" s="138" t="n">
        <f aca="false">VLOOKUP(A48,'TABELA MÃE'!B:J,9,0)</f>
        <v>2.71072</v>
      </c>
      <c r="F48" s="139" t="n">
        <f aca="false">E48*D48</f>
        <v>67.768</v>
      </c>
      <c r="G48" s="146" t="n">
        <v>7898647930018</v>
      </c>
      <c r="H48" s="146" t="n">
        <v>17898647930015</v>
      </c>
      <c r="I48" s="136" t="s">
        <v>234</v>
      </c>
      <c r="J48" s="136" t="s">
        <v>235</v>
      </c>
      <c r="K48" s="139" t="n">
        <f aca="false">L48*0.995</f>
        <v>66.756554129</v>
      </c>
      <c r="L48" s="139" t="n">
        <f aca="false">M48*0.995</f>
        <v>67.0920142</v>
      </c>
      <c r="M48" s="139" t="n">
        <f aca="false">F48*0.995</f>
        <v>67.42916</v>
      </c>
      <c r="N48" s="140" t="n">
        <f aca="false">F48/0.995</f>
        <v>68.1085427135678</v>
      </c>
      <c r="O48" s="141" t="n">
        <f aca="false">F48*0.25%</f>
        <v>0.16942</v>
      </c>
    </row>
    <row r="49" s="141" customFormat="true" ht="21.75" hidden="false" customHeight="true" outlineLevel="0" collapsed="false">
      <c r="A49" s="134" t="n">
        <v>9628</v>
      </c>
      <c r="B49" s="149" t="s">
        <v>236</v>
      </c>
      <c r="C49" s="150" t="s">
        <v>233</v>
      </c>
      <c r="D49" s="151" t="n">
        <v>25</v>
      </c>
      <c r="E49" s="138" t="n">
        <f aca="false">VLOOKUP(A49,'TABELA MÃE'!B:J,9,0)</f>
        <v>4.08672</v>
      </c>
      <c r="F49" s="152" t="n">
        <f aca="false">E49*D49</f>
        <v>102.168</v>
      </c>
      <c r="G49" s="151" t="n">
        <v>7898647930025</v>
      </c>
      <c r="H49" s="151" t="n">
        <v>17898647930022</v>
      </c>
      <c r="I49" s="153" t="s">
        <v>234</v>
      </c>
      <c r="J49" s="153" t="s">
        <v>237</v>
      </c>
      <c r="K49" s="139" t="n">
        <f aca="false">L49*0.995</f>
        <v>100.643129829</v>
      </c>
      <c r="L49" s="139" t="n">
        <f aca="false">M49*0.995</f>
        <v>101.1488742</v>
      </c>
      <c r="M49" s="139" t="n">
        <f aca="false">F49*0.995</f>
        <v>101.65716</v>
      </c>
      <c r="N49" s="140" t="n">
        <f aca="false">F49/0.995</f>
        <v>102.681407035176</v>
      </c>
      <c r="O49" s="141" t="n">
        <f aca="false">F49*0.25%</f>
        <v>0.25542</v>
      </c>
    </row>
    <row r="50" customFormat="false" ht="23.85" hidden="false" customHeight="false" outlineLevel="0" collapsed="false">
      <c r="A50" s="154"/>
      <c r="B50" s="154"/>
      <c r="C50" s="154"/>
      <c r="D50" s="154"/>
      <c r="E50" s="155"/>
      <c r="F50" s="156"/>
      <c r="G50" s="157" t="s">
        <v>238</v>
      </c>
      <c r="H50" s="158"/>
      <c r="I50" s="158"/>
      <c r="J50" s="158"/>
      <c r="K50" s="159"/>
      <c r="L50" s="159"/>
    </row>
  </sheetData>
  <mergeCells count="1">
    <mergeCell ref="A1:N1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LibreOffice/24.2.4.2$Windows_X86_64 LibreOffice_project/51a6219feb6075d9a4c46691dcfe0cd9c4fff3c2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2026-04-15T03:54:06Z</dcterms:created>
  <dc:creator>Rogério Roque</dc:creator>
  <dc:description/>
  <dc:language>pt-BR</dc:language>
  <cp:lastModifiedBy/>
  <cp:lastPrinted>2026-09-08T15:15:46Z</cp:lastPrinted>
  <dcterms:modified xsi:type="dcterms:W3CDTF">2026-09-08T15:17:16Z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